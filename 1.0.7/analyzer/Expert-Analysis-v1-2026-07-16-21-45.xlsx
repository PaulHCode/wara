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drawings/drawing4.xml" ContentType="application/vnd.openxmlformats-officedocument.drawing+xml"/>
  <Override PartName="/xl/tables/table3.xml" ContentType="application/vnd.openxmlformats-officedocument.spreadsheetml.table+xml"/>
  <Override PartName="/xl/drawings/drawing5.xml" ContentType="application/vnd.openxmlformats-officedocument.drawing+xml"/>
  <Override PartName="/xl/tables/table4.xml" ContentType="application/vnd.openxmlformats-officedocument.spreadsheetml.table+xml"/>
  <Override PartName="/xl/drawings/drawing6.xml" ContentType="application/vnd.openxmlformats-officedocument.drawing+xml"/>
  <Override PartName="/xl/tables/table5.xml" ContentType="application/vnd.openxmlformats-officedocument.spreadsheetml.table+xml"/>
  <Override PartName="/xl/drawings/drawing7.xml" ContentType="application/vnd.openxmlformats-officedocument.drawing+xml"/>
  <Override PartName="/xl/tables/table6.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14"/>
  <workbookPr/>
  <mc:AlternateContent xmlns:mc="http://schemas.openxmlformats.org/markup-compatibility/2006">
    <mc:Choice Requires="x15">
      <x15ac:absPath xmlns:x15ac="http://schemas.microsoft.com/office/spreadsheetml/2010/11/ac" url="C:\Users\pauharri\AppData\Local\Temp\"/>
    </mc:Choice>
  </mc:AlternateContent>
  <xr:revisionPtr revIDLastSave="0" documentId="8_{71C9B947-B043-4ED4-9777-E9851E311354}" xr6:coauthVersionLast="47" xr6:coauthVersionMax="47" xr10:uidLastSave="{00000000-0000-0000-0000-000000000000}"/>
  <bookViews>
    <workbookView xWindow="68970" yWindow="5190" windowWidth="19200" windowHeight="10275" tabRatio="730" xr2:uid="{00000000-000D-0000-FFFF-FFFF00000000}"/>
  </bookViews>
  <sheets>
    <sheet name="Introduction" sheetId="17" r:id="rId1"/>
    <sheet name="1.WorkloadInformation" sheetId="28" r:id="rId2"/>
    <sheet name="2.WorkloadInventory" sheetId="32" r:id="rId3"/>
    <sheet name="3.AnalysisPlanning" sheetId="12" r:id="rId4"/>
    <sheet name="4.ImpactedResourcesAnalysis" sheetId="26" r:id="rId5"/>
    <sheet name="5.PlatformIssuesAnalysis" sheetId="4" r:id="rId6"/>
    <sheet name="6.SupportRequestsAnalysis" sheetId="6" r:id="rId7"/>
  </sheets>
  <definedNames>
    <definedName name="_xlcn.WorksheetConnection_impactedresources" hidden="1">impactedresources99</definedName>
  </definedNames>
  <calcPr calcId="191029"/>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impactedresources" name="impactedresources" connection="WorksheetConnection_impactedresources"/>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1" i="12" l="1"/>
  <c r="D21" i="12" a="1"/>
  <c r="C21" i="12" a="1"/>
  <c r="G20" i="12"/>
  <c r="D20" i="12" a="1"/>
  <c r="C20" i="12" a="1"/>
  <c r="G19" i="12"/>
  <c r="D19" i="12" a="1"/>
  <c r="C19" i="12" a="1"/>
  <c r="G18" i="12"/>
  <c r="D18" i="12" a="1"/>
  <c r="C18" i="12" a="1"/>
  <c r="G17" i="12"/>
  <c r="D17" i="12" a="1"/>
  <c r="C17" i="12" a="1"/>
  <c r="G16" i="12"/>
  <c r="D16" i="12" a="1"/>
  <c r="C16" i="12" a="1"/>
  <c r="G15" i="12"/>
  <c r="D15" i="12" a="1"/>
  <c r="C15" i="12" a="1"/>
  <c r="G14" i="12"/>
  <c r="D14" i="12" a="1"/>
  <c r="C14" i="12" a="1"/>
  <c r="G13" i="12"/>
  <c r="D13" i="12" a="1"/>
  <c r="C13" i="12" a="1"/>
  <c r="G12" i="12"/>
  <c r="D12" i="12" a="1"/>
  <c r="C12" i="12" a="1"/>
  <c r="G11" i="12"/>
  <c r="D11" i="12" a="1"/>
  <c r="C11" i="12" a="1"/>
  <c r="C6" i="6"/>
  <c r="C7" i="6" s="1"/>
  <c r="C5" i="6"/>
  <c r="C6" i="4"/>
  <c r="C7" i="4" s="1"/>
  <c r="C5" i="4"/>
  <c r="D6" i="26"/>
  <c r="D5" i="26"/>
  <c r="D4" i="26"/>
  <c r="A6" i="12"/>
  <c r="A5" i="12"/>
  <c r="A4" i="12"/>
  <c r="A3" i="12"/>
  <c r="A2" i="12"/>
  <c r="A1" i="12"/>
  <c r="D7" i="26"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61FF55D-606B-42CF-A255-A2F03A4CA1C8}"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2" xr16:uid="{7AAB2F8B-C6C5-40D1-B2A4-F9FC0D52691B}" name="WorksheetConnection_impactedresources" type="102" refreshedVersion="8" minRefreshableVersion="5">
    <extLst>
      <ext xmlns:x15="http://schemas.microsoft.com/office/spreadsheetml/2010/11/main" uri="{DE250136-89BD-433C-8126-D09CA5730AF9}">
        <x15:connection id="impactedresources">
          <x15:rangePr sourceName="_xlcn.WorksheetConnection_impactedresources"/>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<sst xmlns="http://schemas.openxmlformats.org/spreadsheetml/2006/main" count="1862" uniqueCount="517">
  <si>
    <t>Workload Information</t>
  </si>
  <si>
    <r>
      <rPr>
        <sz val="10"/>
        <color rgb="FF000000"/>
        <rFont val="Aptos Display"/>
        <scheme val="major"/>
      </rPr>
      <t xml:space="preserve">Use this worksheet to enter information about the Workload being assessed. 
</t>
    </r>
    <r>
      <rPr>
        <b/>
        <sz val="10"/>
        <color rgb="FF000000"/>
        <rFont val="Aptos Display"/>
        <scheme val="major"/>
      </rPr>
      <t xml:space="preserve">Required Action:
</t>
    </r>
    <r>
      <rPr>
        <sz val="10"/>
        <color rgb="FF000000"/>
        <rFont val="Aptos Display"/>
        <scheme val="major"/>
      </rPr>
      <t>1. Ensure that all required fields are filled with the necessary information.</t>
    </r>
  </si>
  <si>
    <t>Workload Inventory</t>
  </si>
  <si>
    <r>
      <rPr>
        <sz val="10"/>
        <color rgb="FF000000"/>
        <rFont val="Aptos Display"/>
        <scheme val="major"/>
      </rPr>
      <t xml:space="preserve">Use this worksheet to see all resources that are part of the workload. This includes all in-scope resources, including resource groups and subscriptions.
</t>
    </r>
    <r>
      <rPr>
        <b/>
        <sz val="10"/>
        <color rgb="FF000000"/>
        <rFont val="Aptos Display"/>
        <scheme val="major"/>
      </rPr>
      <t>No Required Action.</t>
    </r>
  </si>
  <si>
    <t>Analysis Planning</t>
  </si>
  <si>
    <r>
      <rPr>
        <sz val="10"/>
        <color rgb="FF000000"/>
        <rFont val="Aptos Display"/>
        <scheme val="major"/>
      </rPr>
      <t xml:space="preserve">Use this worksheet to coordinate your validation process, especially when collaborating with others. 
You can assign ownership for each Resource Type, view the number of resources per Resource Type, the number of impacted resources, and more.
</t>
    </r>
    <r>
      <rPr>
        <b/>
        <sz val="10"/>
        <color rgb="FF000000"/>
        <rFont val="Aptos Display"/>
        <scheme val="major"/>
      </rPr>
      <t xml:space="preserve">Required Action:
</t>
    </r>
    <r>
      <rPr>
        <sz val="10"/>
        <color rgb="FF000000"/>
        <rFont val="Aptos Display"/>
        <scheme val="major"/>
      </rPr>
      <t>1. Ensure that all categories are fully validated and have a "Reviewed" status before running the Reports Generator script.</t>
    </r>
  </si>
  <si>
    <t>Impacted Resources and Recommentations</t>
  </si>
  <si>
    <r>
      <rPr>
        <sz val="10"/>
        <color rgb="FF000000"/>
        <rFont val="Aptos Display"/>
        <scheme val="major"/>
      </rPr>
      <t xml:space="preserve">This worksheet shows all in-scope impacted resources, that is, resources not following Microsoft recommendations for resiliency and reliability.
</t>
    </r>
    <r>
      <rPr>
        <b/>
        <sz val="10"/>
        <color rgb="FF000000"/>
        <rFont val="Aptos Display"/>
        <scheme val="major"/>
      </rPr>
      <t xml:space="preserve">Required Actions: 
</t>
    </r>
    <r>
      <rPr>
        <sz val="10"/>
        <color rgb="FF000000"/>
        <rFont val="Aptos Display"/>
        <scheme val="major"/>
      </rPr>
      <t>Ensure all recommendations and resources associated with the following categories are reviewed:
1. Recommendation does not have automated validation.
2. ResourceType not available in APRL/Advisor.
3. Well-Architected Framework.
4. Azure Service Health - Service Retirements.</t>
    </r>
  </si>
  <si>
    <t>Platform Issues</t>
  </si>
  <si>
    <r>
      <t xml:space="preserve">This worksheet shows all Azure Platform and Service Issues that are associated with the resources used by the workload.
</t>
    </r>
    <r>
      <rPr>
        <b/>
        <sz val="10"/>
        <rFont val="Aptos Display"/>
        <family val="2"/>
        <scheme val="major"/>
      </rPr>
      <t>Required Actions:</t>
    </r>
    <r>
      <rPr>
        <sz val="10"/>
        <rFont val="Aptos Display"/>
        <family val="2"/>
        <scheme val="major"/>
      </rPr>
      <t xml:space="preserve">
1. Review the affected Azure Service, Date, Impact and Recommendations for each of Platform Issue.
2. For relevant Platform Issues (that really affected the workload), read the recommendations in field "What customers can do to avoid being affected", go to the Impacted Resources" worksheet, search for equivalent recommendations to associate with the Tracking ID of the Service Issue, or crrate a new recommendation(s) and associate with the necessary resource(s), or entire Subscription.</t>
    </r>
  </si>
  <si>
    <t>Support Requests</t>
  </si>
  <si>
    <r>
      <rPr>
        <sz val="10"/>
        <color rgb="FF000000"/>
        <rFont val="Aptos Display"/>
        <scheme val="major"/>
      </rPr>
      <t xml:space="preserve">This worksheet shows all Support Tickets opened by users for the Subscriptions associated with the workload.
</t>
    </r>
    <r>
      <rPr>
        <b/>
        <sz val="10"/>
        <color rgb="FF000000"/>
        <rFont val="Aptos Display"/>
        <scheme val="major"/>
      </rPr>
      <t xml:space="preserve">Required Actions:
</t>
    </r>
    <r>
      <rPr>
        <sz val="10"/>
        <color rgb="FF000000"/>
        <rFont val="Aptos Display"/>
        <scheme val="major"/>
      </rPr>
      <t>1. Review the resolution and recommendations from Microsoft Support for each of the Support Tickets
2. For relevant Support Tickets, using the recommendations from the Microsoft Support team, add the recommendations to the "Recommendations and Impacted Resources" and associate with the necessary resource(s), or entire workload. Adapt the Title and all Recommendation fields if necessary to fit the 100 (Title) and 300 (Long Description) max characters.</t>
    </r>
  </si>
  <si>
    <t>cc</t>
  </si>
  <si>
    <t>Information</t>
  </si>
  <si>
    <t>.</t>
  </si>
  <si>
    <t>Workload Data</t>
  </si>
  <si>
    <t>Example:</t>
  </si>
  <si>
    <t>Workload Name</t>
  </si>
  <si>
    <t>Required</t>
  </si>
  <si>
    <t>Contoso Hotels</t>
  </si>
  <si>
    <t>Azure Cloud</t>
  </si>
  <si>
    <t>Commercial / Government</t>
  </si>
  <si>
    <t>Primary Region</t>
  </si>
  <si>
    <t>EastUS</t>
  </si>
  <si>
    <t>Secondary/DR Region</t>
  </si>
  <si>
    <t>WestUS3</t>
  </si>
  <si>
    <t>Criticality for the Business</t>
  </si>
  <si>
    <t>Critical  / High / Medium / Low</t>
  </si>
  <si>
    <t>Availability/DR Design Pattern</t>
  </si>
  <si>
    <t>Active-Active / Active-Passive (Cold / Warm Standy)</t>
  </si>
  <si>
    <t>SLA</t>
  </si>
  <si>
    <t>99.00 / 99.90 / 99.95</t>
  </si>
  <si>
    <t>RPO</t>
  </si>
  <si>
    <t>Minutes / Hours</t>
  </si>
  <si>
    <t>RTO</t>
  </si>
  <si>
    <t>Top 1 Challenge/Pain point</t>
  </si>
  <si>
    <t>Optional</t>
  </si>
  <si>
    <t>Top 2 Challenge/Pain point</t>
  </si>
  <si>
    <t>Top 3 Challenge/Pain point</t>
  </si>
  <si>
    <t>Reviewed</t>
  </si>
  <si>
    <t>Pending (High/Medium)</t>
  </si>
  <si>
    <t>Pending (Low)</t>
  </si>
  <si>
    <t>Total</t>
  </si>
  <si>
    <t>Resource information block</t>
  </si>
  <si>
    <t>Recommendation information block</t>
  </si>
  <si>
    <t>Additional information block</t>
  </si>
  <si>
    <t>Pending</t>
  </si>
  <si>
    <t>id</t>
  </si>
  <si>
    <t>name</t>
  </si>
  <si>
    <t>type</t>
  </si>
  <si>
    <t>tenantId</t>
  </si>
  <si>
    <t>kind</t>
  </si>
  <si>
    <t>location</t>
  </si>
  <si>
    <t>resourceGroup</t>
  </si>
  <si>
    <t>subscriptionId</t>
  </si>
  <si>
    <t>managedBy</t>
  </si>
  <si>
    <t>sku</t>
  </si>
  <si>
    <t>plan</t>
  </si>
  <si>
    <t>zones</t>
  </si>
  <si>
    <t>/subscriptions/508d4c26-18a2-4b58-b83d-5535758910b0/resourceGroups/ADTSource/providers/Microsoft.AzureDataTransfer/connections/ADTSource0</t>
  </si>
  <si>
    <t>ADTSource0</t>
  </si>
  <si>
    <t>microsoft.azuredatatransfer/connections</t>
  </si>
  <si>
    <t>da667b97-c1f7-494e-b7ba-172131cd40d9</t>
  </si>
  <si>
    <t>eastus</t>
  </si>
  <si>
    <t>adtsource</t>
  </si>
  <si>
    <t>508d4c26-18a2-4b58-b83d-5535758910b0</t>
  </si>
  <si>
    <t>/subscriptions/508d4c26-18a2-4b58-b83d-5535758910b0/resourceGroups/Default-ActivityLogAlerts/providers/Microsoft.Insights/actiongroups/AGOwner</t>
  </si>
  <si>
    <t>AGOwner</t>
  </si>
  <si>
    <t>microsoft.insights/actiongroups</t>
  </si>
  <si>
    <t>global</t>
  </si>
  <si>
    <t>default-activitylogalerts</t>
  </si>
  <si>
    <t>/subscriptions/508d4c26-18a2-4b58-b83d-5535758910b0/resourceGroups/mcapsgovernance/providers/Microsoft.EventGrid/systemTopics/mcapsb83d5535758910b0-84fe27b9-60c6-44e8-a98f-9de1efe22453</t>
  </si>
  <si>
    <t>mcapsb83d5535758910b0-84fe27b9-60c6-44e8-a98f-9de1efe22453</t>
  </si>
  <si>
    <t>microsoft.eventgrid/systemtopics</t>
  </si>
  <si>
    <t>westus2</t>
  </si>
  <si>
    <t>mcapsgovernance</t>
  </si>
  <si>
    <t>/subscriptions/508d4c26-18a2-4b58-b83d-5535758910b0/resourceGroups/McapsGovernance/providers/Microsoft.Storage/storageAccounts/mcapsb83d5535758910b0</t>
  </si>
  <si>
    <t>mcapsb83d5535758910b0</t>
  </si>
  <si>
    <t>microsoft.storage/storageaccounts</t>
  </si>
  <si>
    <t>/subscriptions/508d4c26-18a2-4b58-b83d-5535758910b0/resourceGroups/monitoring/providers/Microsoft.EventGrid/systemTopics/pauharritest0sa-96613d94-50ef-4fe8-838b-cab034350066</t>
  </si>
  <si>
    <t>pauharritest0sa-96613d94-50ef-4fe8-838b-cab034350066</t>
  </si>
  <si>
    <t>monitoring</t>
  </si>
  <si>
    <t>/subscriptions/508d4c26-18a2-4b58-b83d-5535758910b0/resourceGroups/monitoring/providers/Microsoft.Insights/dataCollectionEndpoints/dce-mytestvm0-centralus-cfg</t>
  </si>
  <si>
    <t>dce-mytestvm0-centralus-cfg</t>
  </si>
  <si>
    <t>microsoft.insights/datacollectionendpoints</t>
  </si>
  <si>
    <t>centralus</t>
  </si>
  <si>
    <t>/subscriptions/508d4c26-18a2-4b58-b83d-5535758910b0/resourceGroups/monitoring/providers/Microsoft.Insights/dataCollectionEndpoints/dce-mytestvm0-eastus</t>
  </si>
  <si>
    <t>dce-mytestvm0-eastus</t>
  </si>
  <si>
    <t>/subscriptions/508d4c26-18a2-4b58-b83d-5535758910b0/resourceGroups/monitoring/providers/Microsoft.Insights/dataCollectionRules/ct-dcr-188645704-12406056</t>
  </si>
  <si>
    <t>ct-dcr-188645704-12406056</t>
  </si>
  <si>
    <t>microsoft.insights/datacollectionrules</t>
  </si>
  <si>
    <t>/subscriptions/508d4c26-18a2-4b58-b83d-5535758910b0/resourceGroups/monitoring/providers/Microsoft.Insights/privateLinkScopes/ampls-atofa</t>
  </si>
  <si>
    <t>ampls-atofa</t>
  </si>
  <si>
    <t>microsoft.insights/privatelinkscopes</t>
  </si>
  <si>
    <t>/subscriptions/508d4c26-18a2-4b58-b83d-5535758910b0/resourceGroups/monitoring/providers/Microsoft.OperationalInsights/workspaces/monitoring-law</t>
  </si>
  <si>
    <t>monitoring-law</t>
  </si>
  <si>
    <t>microsoft.operationalinsights/workspaces</t>
  </si>
  <si>
    <t>/subscriptions/508d4c26-18a2-4b58-b83d-5535758910b0/resourceGroups/monitoring/providers/Microsoft.OperationsManagement/solutions/ChangeTracking(monitoring-law)</t>
  </si>
  <si>
    <t>ChangeTracking(monitoring-law)</t>
  </si>
  <si>
    <t>microsoft.operationsmanagement/solutions</t>
  </si>
  <si>
    <t>/subscriptions/508d4c26-18a2-4b58-b83d-5535758910b0/resourceGroups/monitoring/providers/Microsoft.OperationsManagement/solutions/SecurityInsights(monitoring-law)</t>
  </si>
  <si>
    <t>SecurityInsights(monitoring-law)</t>
  </si>
  <si>
    <t>/subscriptions/508d4c26-18a2-4b58-b83d-5535758910b0/resourceGroups/monitoring/providers/Microsoft.Storage/storageAccounts/pauharritest0sa</t>
  </si>
  <si>
    <t>pauharritest0sa</t>
  </si>
  <si>
    <t>/subscriptions/508d4c26-18a2-4b58-b83d-5535758910b0/resourceGroups/NetworkWatcherRG/providers/Microsoft.Network/networkWatchers/NetworkWatcher_centralus</t>
  </si>
  <si>
    <t>NetworkWatcher_centralus</t>
  </si>
  <si>
    <t>microsoft.network/networkwatchers</t>
  </si>
  <si>
    <t>networkwatcherrg</t>
  </si>
  <si>
    <t>/subscriptions/508d4c26-18a2-4b58-b83d-5535758910b0/resourceGroups/NetworkWatcherRG/providers/Microsoft.Network/networkWatchers/NetworkWatcher_eastus2</t>
  </si>
  <si>
    <t>NetworkWatcher_eastus2</t>
  </si>
  <si>
    <t>eastus2</t>
  </si>
  <si>
    <t>/subscriptions/508d4c26-18a2-4b58-b83d-5535758910b0/resourceGroups/peeringtest-rg/providers/Microsoft.Network/virtualNetworks/sub1peeringvnet0</t>
  </si>
  <si>
    <t>sub1peeringvnet0</t>
  </si>
  <si>
    <t>microsoft.network/virtualnetworks</t>
  </si>
  <si>
    <t>peeringtest-rg</t>
  </si>
  <si>
    <t>/subscriptions/508d4c26-18a2-4b58-b83d-5535758910b0/resourceGroups/peeringtest-rg/providers/Microsoft.Network/virtualNetworks/sub1peeringvnet1</t>
  </si>
  <si>
    <t>sub1peeringvnet1</t>
  </si>
  <si>
    <t>/subscriptions/508d4c26-18a2-4b58-b83d-5535758910b0/resourceGroups/scaa0/providers/Microsoft.CognitiveServices/accounts/cog-scaa0-eus2-dev</t>
  </si>
  <si>
    <t>cog-scaa0-eus2-dev</t>
  </si>
  <si>
    <t>microsoft.cognitiveservices/accounts</t>
  </si>
  <si>
    <t>scaa0</t>
  </si>
  <si>
    <t>/subscriptions/508d4c26-18a2-4b58-b83d-5535758910b0/resourceGroups/scaa0/providers/Microsoft.CognitiveServices/accounts/oai-scaa0-eus2-dev</t>
  </si>
  <si>
    <t>oai-scaa0-eus2-dev</t>
  </si>
  <si>
    <t>/subscriptions/508d4c26-18a2-4b58-b83d-5535758910b0/resourceGroups/scaa0/providers/Microsoft.DocumentDB/databaseAccounts/cosmos-scaa0-eus2-dev-zzhkrt</t>
  </si>
  <si>
    <t>cosmos-scaa0-eus2-dev-zzhkrt</t>
  </si>
  <si>
    <t>microsoft.documentdb/databaseaccounts</t>
  </si>
  <si>
    <t>/subscriptions/508d4c26-18a2-4b58-b83d-5535758910b0/resourceGroups/scaa0/providers/Microsoft.EventGrid/systemTopics/stscaa0eus2devzzhk-1a26f1be-00a3-4da0-975b-900a6f6bb6f8</t>
  </si>
  <si>
    <t>stscaa0eus2devzzhk-1a26f1be-00a3-4da0-975b-900a6f6bb6f8</t>
  </si>
  <si>
    <t>/subscriptions/508d4c26-18a2-4b58-b83d-5535758910b0/resourceGroups/scaa0/providers/Microsoft.ManagedIdentity/userAssignedIdentities/id-scaa0-eus2-dev</t>
  </si>
  <si>
    <t>id-scaa0-eus2-dev</t>
  </si>
  <si>
    <t>microsoft.managedidentity/userassignedidentities</t>
  </si>
  <si>
    <t>/subscriptions/508d4c26-18a2-4b58-b83d-5535758910b0/resourceGroups/scaa0/providers/Microsoft.Network/networkSecurityGroups/scaa0-vnet-default-nsg-eastus2</t>
  </si>
  <si>
    <t>scaa0-vnet-default-nsg-eastus2</t>
  </si>
  <si>
    <t>microsoft.network/networksecuritygroups</t>
  </si>
  <si>
    <t>/subscriptions/508d4c26-18a2-4b58-b83d-5535758910b0/resourceGroups/scaa0/providers/Microsoft.Network/virtualNetworks/scaa0-vnet</t>
  </si>
  <si>
    <t>scaa0-vnet</t>
  </si>
  <si>
    <t>/subscriptions/508d4c26-18a2-4b58-b83d-5535758910b0/resourceGroups/scaa0/providers/Microsoft.Search/searchServices/srch-scaa0-eus2-dev-zzhkrt</t>
  </si>
  <si>
    <t>srch-scaa0-eus2-dev-zzhkrt</t>
  </si>
  <si>
    <t>microsoft.search/searchservices</t>
  </si>
  <si>
    <t>/subscriptions/508d4c26-18a2-4b58-b83d-5535758910b0/resourceGroups/scaa0/providers/Microsoft.Storage/storageAccounts/stscaa0eus2devzzhk</t>
  </si>
  <si>
    <t>stscaa0eus2devzzhk</t>
  </si>
  <si>
    <t>/subscriptions/508d4c26-18a2-4b58-b83d-5535758910b0/resourceGroups/scaa0/providers/Microsoft.Web/serverFarms/asp-scaa0-eus2-dev</t>
  </si>
  <si>
    <t>asp-scaa0-eus2-dev</t>
  </si>
  <si>
    <t>microsoft.web/serverfarms</t>
  </si>
  <si>
    <t>/subscriptions/508d4c26-18a2-4b58-b83d-5535758910b0/resourceGroups/scaa0/providers/Microsoft.Web/sites/app-scaa0-eus2-dev-zzhkrt</t>
  </si>
  <si>
    <t>app-scaa0-eus2-dev-zzhkrt</t>
  </si>
  <si>
    <t>microsoft.web/sites</t>
  </si>
  <si>
    <t>/subscriptions/508d4c26-18a2-4b58-b83d-5535758910b0/resourceGroups/sub1vnet-rg/providers/Microsoft.Network/virtualNetworks/sub1vnet</t>
  </si>
  <si>
    <t>sub1vnet</t>
  </si>
  <si>
    <t>sub1vnet-rg</t>
  </si>
  <si>
    <t>/subscriptions/508d4c26-18a2-4b58-b83d-5535758910b0/resourceGroups/tenantNSGSub1/providers/Microsoft.Network/networkSecurityGroups/tenantNSGSub1</t>
  </si>
  <si>
    <t>tenantNSGSub1</t>
  </si>
  <si>
    <t>tenantnsgsub1</t>
  </si>
  <si>
    <t>REQUIRED ACTIONS / REVIEW STATUS</t>
  </si>
  <si>
    <t>ValidationCategory</t>
  </si>
  <si>
    <t>Resource Type</t>
  </si>
  <si>
    <t>custom1</t>
  </si>
  <si>
    <t>custom2</t>
  </si>
  <si>
    <t>custom3</t>
  </si>
  <si>
    <t>custom4</t>
  </si>
  <si>
    <t>custom5</t>
  </si>
  <si>
    <t>Recommendation Title</t>
  </si>
  <si>
    <t>Impact</t>
  </si>
  <si>
    <t>Recommendation Control</t>
  </si>
  <si>
    <t>Potential Benefit</t>
  </si>
  <si>
    <t>Learn More Link</t>
  </si>
  <si>
    <t>Long Description</t>
  </si>
  <si>
    <t>Guid</t>
  </si>
  <si>
    <t>Category</t>
  </si>
  <si>
    <t>Source</t>
  </si>
  <si>
    <t>WAF Pillar</t>
  </si>
  <si>
    <t>Platform Issue TrackingId</t>
  </si>
  <si>
    <t>Retirement TrackingId</t>
  </si>
  <si>
    <t>Support Request Number</t>
  </si>
  <si>
    <t>Notes</t>
  </si>
  <si>
    <t>checkName</t>
  </si>
  <si>
    <t>REQUIRED ACTIONS: Recommendation does not have automated validation._x000D_
This recommendation does not have automated validation. Since it cannot be validated automatically, follow these steps:_x000D_
1. Review the Recommendation Title and Description to understand the recommendation. Use the "Read More" links for additional information._x000D_
2. Open the Azure Portal and locate the potentially impacted resource using its Resource Name or ResourceId._x000D_
3. Manually validate the resource._x000D_
4. If the resource is not compliant with the recommendation, update this cell to "Reviewed"._x000D_
or_x000D_
5. Delete this row if the resource is irrelevant or already compliant with the recommendation.</t>
  </si>
  <si>
    <t>Resource</t>
  </si>
  <si>
    <t>Microsoft.Web/sites</t>
  </si>
  <si>
    <t>Enable diagnostics logging</t>
  </si>
  <si>
    <t>Low</t>
  </si>
  <si>
    <t>Monitoring And Alerting</t>
  </si>
  <si>
    <t>Monitoring and Alerting</t>
  </si>
  <si>
    <t>https://learn.microsoft.com/azure/app-service/troubleshoot-diagnostic-logs</t>
  </si>
  <si>
    <t xml:space="preserve">Enabling diagnostics logging for your Azure App Service is crucial for monitoring and diagnostics, including both application logging and web server logging.
</t>
  </si>
  <si>
    <t>493f6079-3bb6-4a56-96ba-ab3248474cb1</t>
  </si>
  <si>
    <t>Azure Service</t>
  </si>
  <si>
    <t>APRL</t>
  </si>
  <si>
    <t>Reliability</t>
  </si>
  <si>
    <t>Monitor Performance</t>
  </si>
  <si>
    <t>High</t>
  </si>
  <si>
    <t>Real-time insights and issue diagnosis</t>
  </si>
  <si>
    <t>https://learn.microsoft.com/azure/application-insights/app-insights-overview</t>
  </si>
  <si>
    <t xml:space="preserve">Use Application Insights to monitor app performance and load behavior, offering real-time insights, issue diagnosis, and root-cause analysis. It supports ASP.NET, ASP.NET Core, Java, and Node.js on Azure App Service, now with built-in monitoring.
</t>
  </si>
  <si>
    <t>a7e8bb3d-8ceb-442d-b26f-007cd63f9ffc</t>
  </si>
  <si>
    <t>Separate web apps from web APIs</t>
  </si>
  <si>
    <t>Scalability</t>
  </si>
  <si>
    <t>Independent scaling, easier management</t>
  </si>
  <si>
    <t>https://learn.microsoft.com/azure/architecture/checklist/resiliency-per-service#app-service</t>
  </si>
  <si>
    <t xml:space="preserve">If your solution includes both a web front end and a web API, decomposing them into separate App Service apps facilitates solution decomposition by workload, allowing for independent scaling. Initially, you can deploy both in the same plan and separate them for independent scaling when necessary.
</t>
  </si>
  <si>
    <t>78a5c033-ff51-4332-8a71-83464c34494b</t>
  </si>
  <si>
    <t>Create a separate storage account for logs</t>
  </si>
  <si>
    <t>Medium</t>
  </si>
  <si>
    <t>Improves app performance</t>
  </si>
  <si>
    <t xml:space="preserve">Creating a separate storage account for logs and not using the same one for application data prevents logging activities from reducing application performance by ensuring that the resources dedicated to handling application data are not burdened by logging processes.
</t>
  </si>
  <si>
    <t>3f9ddb59-0bb3-4acb-9c9b-99aa1776f0ab</t>
  </si>
  <si>
    <t>AppSettings is not configured</t>
  </si>
  <si>
    <t>Store configuration as app settings for Web Sites</t>
  </si>
  <si>
    <t>Other Best Practices</t>
  </si>
  <si>
    <t>Enhanced reliability via automation</t>
  </si>
  <si>
    <t>https://learn.microsoft.com/azure/app-service-web/web-sites-configure</t>
  </si>
  <si>
    <t xml:space="preserve">Use app settings for configuration and define them in Resource Manager templates or via PowerShell to facilitate part of an automated deployment/update process for improved reliability.
</t>
  </si>
  <si>
    <t>0b80b67c-afbe-4988-ad58-a85a146b681e</t>
  </si>
  <si>
    <t>Healthcheckpath = not set</t>
  </si>
  <si>
    <t>Enable Health check for App Services</t>
  </si>
  <si>
    <t>https://learn.microsoft.com/azure/app-service/monitor-instances-health-check?tabs=dotnet#enable-health-check</t>
  </si>
  <si>
    <t xml:space="preserve">Use Health Check for production workloads. Health check increases your application's availability by rerouting requests away from unhealthy instances, and replacing instances if they remain unhealthy. The Health check path should check critical components of your application.
</t>
  </si>
  <si>
    <t>fd049c28-ae6d-48f0-a641-cc3ba1a3fe1d</t>
  </si>
  <si>
    <t>No warmup trigger added to Function App</t>
  </si>
  <si>
    <t>Improved app availability</t>
  </si>
  <si>
    <t>https://learn.microsoft.com/azure/azure-functions/functions-bindings-warmup?tabs=in-process%2Cnodejs-v4&amp;pivots=programming-language-csharp#trigger</t>
  </si>
  <si>
    <t xml:space="preserve">Add a warmup trigger to pre-load custom dependencies during the pre-warming process so that your functions are ready to start processing requests immediately.
</t>
  </si>
  <si>
    <t>52f368ee-1d77-4b34-92db-64be269642d0</t>
  </si>
  <si>
    <t>Ensure unique hostid set for Function App</t>
  </si>
  <si>
    <t>Easier management</t>
  </si>
  <si>
    <t>https://learn.microsoft.com/azure/azure-resource-manager/management/resource-name-rules</t>
  </si>
  <si>
    <t xml:space="preserve">A host ID must be between 1 and 32 characters, contain only lowercase letters, numbers, and dashes, not start or end with a dash, and not contain consecutive dashes. The host ID value should be unique for all apps/slots you're running.
</t>
  </si>
  <si>
    <t>0b06a688-0dd6-4d73-9f72-6666ff853ca9</t>
  </si>
  <si>
    <t>Ensure Function App runs a supported version</t>
  </si>
  <si>
    <t>Better governance</t>
  </si>
  <si>
    <t>https://learn.microsoft.com/azure/azure-functions/migrate-version-3-version-4?tabs=net6-in-proc%2Cazure-cli%2Cwindows&amp;pivots=programming-language-csharp</t>
  </si>
  <si>
    <t xml:space="preserve">Beginning on December 13, 2022, function apps running on versions 2.x and 3.x of the Azure Functions runtime have reached the end of life (EOL) of extended support. We highly recommend you migrating your function apps to version 4.x of the Functions runtime.
</t>
  </si>
  <si>
    <t>c9a278b7-024b-454b-bd54-41587c512b74</t>
  </si>
  <si>
    <t>Ensure FUNCTIONS_WORKER_RUNTIME is set properly</t>
  </si>
  <si>
    <t>https://learn.microsoft.com/azure/azure-functions/functions-app-settings#functions_worker_runtime</t>
  </si>
  <si>
    <t xml:space="preserve">The FUNCTIONS_WORKER_RUNTIME setting in the Function App configuration should be set to the appropriate value based on the language you are using. This setting is used to determine the language worker that will be used to execute your functions.
</t>
  </si>
  <si>
    <t>7c608f46-46b2-4cc0-bbd6-1d457c16671c</t>
  </si>
  <si>
    <t>Create separate App Service plans for production and test</t>
  </si>
  <si>
    <t>Protects prod performance; avoids test impact</t>
  </si>
  <si>
    <t xml:space="preserve">It is strongly recommended to create separate App Service plans for production and test environments to avoid using slots within your production deployment for testing purposes.
</t>
  </si>
  <si>
    <t>dbe3fd66-fb2a-9d46-b162-1791e21da236</t>
  </si>
  <si>
    <t>Enable Autoscale/Automatic scaling to ensure adequate resources are available to service requests</t>
  </si>
  <si>
    <t>Optimizes resources for traffic</t>
  </si>
  <si>
    <t>https://learn.microsoft.com/azure/app-service/manage-automatic-scaling?tabs=azure-portal</t>
  </si>
  <si>
    <t xml:space="preserve">Enabling Autoscale/Automatic Scaling for your Azure App Service ensures sufficient resources for incoming requests. Autoscaling is rule-based, whereas Automatic Scaling, a newer feature, automatically adjusts resources based on HTTP traffic.
</t>
  </si>
  <si>
    <t>6320abf6-f917-1843-b2ae-4779c35985ae</t>
  </si>
  <si>
    <t>Leverage Global provisioned deployment to ensure high and predictable throughput</t>
  </si>
  <si>
    <t>High Availability</t>
  </si>
  <si>
    <t>Low latency variance, high throughputs, business continuity</t>
  </si>
  <si>
    <t>https://learn.microsoft.com/azure/ai-services/openai/how-to/deployment-types#global-provisioned</t>
  </si>
  <si>
    <t xml:space="preserve">Global provisioned deployments provide reserved model processing capacity for high and predictable throughput using Azure global infrastructure. Suitable for applications requiring lower latency variance at large workload usage. Provides cost savings.
</t>
  </si>
  <si>
    <t>042c034e-2b85-4c1d-bf9a-65c75a6b43e9</t>
  </si>
  <si>
    <t>Ensure PAYG AOAI models leverage Global Standard deployment</t>
  </si>
  <si>
    <t>Best model availability, business continuity</t>
  </si>
  <si>
    <t>https://learn.microsoft.com/azure/ai-services/openai/how-to/deployment-types#global-standard</t>
  </si>
  <si>
    <t xml:space="preserve">Global Standard leverages Azure's global infrastructure to route traffic to the best available data center for customer's real-time inference requests. It provides the highest default quota and eliminates the need to load balance across multiple resources. Optimized for low to medium volume usage.
</t>
  </si>
  <si>
    <t>081fc8a4-b2d9-405b-b351-334e621016f5</t>
  </si>
  <si>
    <t>Deploy a PAYG instance of the model with provisioned throughput to manage overflow effectively</t>
  </si>
  <si>
    <t>PAYG model balances cost and performance and helps scale</t>
  </si>
  <si>
    <t>https://learn.microsoft.com/azure/ai-services/openai/concepts/provisioned-throughput</t>
  </si>
  <si>
    <t xml:space="preserve">Provisioned Throughput offers pre-allocated capacity for consistent workloads, while Pay-as-You-Go charges for actual usage, ideal for variable workloads. During overflow, the Pay-as-You-Go instance manages excess load, ensuring service efficiency.
</t>
  </si>
  <si>
    <t>0c193899-da60-4a52-b4a0-77d75ac8c5c5</t>
  </si>
  <si>
    <t>Ensure that models are deployed using Global batch for large scale processing</t>
  </si>
  <si>
    <t>Cost effective faster turnaround for large-scale processing.</t>
  </si>
  <si>
    <t>https://learn.microsoft.com/azure/ai-services/openai/how-to/deployment-types#global-batch</t>
  </si>
  <si>
    <t xml:space="preserve">Global batch efficiently handles large-scale tasks within 24 hours. Submit requests in a single file, with a separate quota to protect online workloads. Key uses: data processing, content generation, document review, customer support automation, data extraction, NLP tasks, and marketing.
</t>
  </si>
  <si>
    <t>8aa9744b-f302-4b05-9776-51d6dd3d0c3a</t>
  </si>
  <si>
    <t>Ensure AOAI models are deployed using Data Zone Standard for data residency requirements</t>
  </si>
  <si>
    <t>Enforce data residency and compliance standards</t>
  </si>
  <si>
    <t>https://learn.microsoft.com/azure/ai-services/openai/how-to/deployment-types#data-zone-standard</t>
  </si>
  <si>
    <t xml:space="preserve">Data zone deployments route customer traffic to the highest availability data center within the defined data zone, ensuring data at rest remains within the Azure OpenAI resource geography. This approach offers increased quota limits and ensures data processing occurs within the specified data zone.
</t>
  </si>
  <si>
    <t>ac3add17-013e-41a5-af91-9fefce794a00</t>
  </si>
  <si>
    <t>Use comprehensive monitoring solution for AOAI service</t>
  </si>
  <si>
    <t>Optimize performance and compliance with detailed insights</t>
  </si>
  <si>
    <t>https://learn.microsoft.com/azure/architecture/ai-ml/openai/architecture/log-monitor-azure-openai</t>
  </si>
  <si>
    <t xml:space="preserve">Implementing a comprehensive monitoring solution for AOAI involves using Azure Monitor to track API usage, performance metrics, and security events. This setup helps optimize performance, manage costs, and ensure compliance by providing detailed insights into model usage and potential issues.
</t>
  </si>
  <si>
    <t>72b1b4ad-a14b-4430-9799-91bda782973d</t>
  </si>
  <si>
    <t>Deploy AOAI Service in multiple regions using Standard and/or Provisioned deployments</t>
  </si>
  <si>
    <t>Ensures business continuity during regional outages.</t>
  </si>
  <si>
    <t>https://learn.microsoft.com/azure/ai-services/openai/how-to/business-continuity-disaster-recovery</t>
  </si>
  <si>
    <t xml:space="preserve">If your service needs to always be available, design AOAI Service to either failover into another region or split the workload between two or more regions. Applications requiring high degrees of resiliency should consider this to strengthen their model infrastructure.
</t>
  </si>
  <si>
    <t>61187af4-7d36-4b48-b16e-de78bef143a0</t>
  </si>
  <si>
    <t>Enable Log Analytics data export to GRS or GZRS</t>
  </si>
  <si>
    <t>Enhances compliance and regional fault tolerance</t>
  </si>
  <si>
    <t>https://learn.microsoft.com/azure/azure-monitor/logs/logs-data-export</t>
  </si>
  <si>
    <t xml:space="preserve">Data export in a Log Analytics workspace to an Azure Storage account enhances data protection against regional failures by using geo-redundant (GRS) or geo-zone-redundant storage (GZRS), mainly for compliance and integration with other Azure services and tools.
</t>
  </si>
  <si>
    <t>b36fd2ac-dd83-664a-ab48-ff7b8d3b189d</t>
  </si>
  <si>
    <t>Create a health status alert rule for your Log Analytics workspace</t>
  </si>
  <si>
    <t>Early alert for workspace failure</t>
  </si>
  <si>
    <t>https://learn.microsoft.com/azure/azure-monitor/logs/log-analytics-workspace-health</t>
  </si>
  <si>
    <t xml:space="preserve">A health status alert will proactively notify you if a workspace becomes unavailable because of a datacenter or regional failure.
</t>
  </si>
  <si>
    <t>4b77191c-cc3c-8c4e-844b-0f56d0927890</t>
  </si>
  <si>
    <t>Microsoft.Storage/storageAccounts</t>
  </si>
  <si>
    <t>sku: Standard_LRS</t>
  </si>
  <si>
    <t>Ensure that storage accounts are zone or region redundant</t>
  </si>
  <si>
    <t>High availability and durability for storage</t>
  </si>
  <si>
    <t>https://learn.microsoft.com/azure/storage/common/storage-redundancy</t>
  </si>
  <si>
    <t xml:space="preserve">Redundancy ensures storage accounts meet availability and durability targets amidst failures, weighing lower costs against higher availability. Locally redundant storage offers the least durability at the lowest cost.
</t>
  </si>
  <si>
    <t>e6c7e1cc-2f47-264d-aa50-1da421314472</t>
  </si>
  <si>
    <t>Enable versioning for accidental modification and keep the number of versions below 1000</t>
  </si>
  <si>
    <t>Disaster Recovery</t>
  </si>
  <si>
    <t>Recover data, manage latency</t>
  </si>
  <si>
    <t>https://learn.microsoft.com/azure/storage/blobs/versioning-overview</t>
  </si>
  <si>
    <t xml:space="preserve">Consider enabling versioning for Azure Storage Accounts to recover from accidental modifications or deletions and manage blob operation latency. Microsoft advises maintaining fewer than 1000 versions per blob to optimize performance. Lifecycle management can help delete old versions automatically.
</t>
  </si>
  <si>
    <t>8ebda7c0-e0e1-ed45-af59-2d7ea9a1c05d</t>
  </si>
  <si>
    <t>Enable point-in-time restore for GPv2 accounts to safeguard against data loss</t>
  </si>
  <si>
    <t>Protects data from loss/corruption</t>
  </si>
  <si>
    <t>https://learn.microsoft.com/azure/storage/blobs/point-in-time-restore-overview</t>
  </si>
  <si>
    <t xml:space="preserve">Consider enabling point-in-time restore for standard general purpose v2 accounts with flat namespace to protect against accidental deletion or corruption by restoring block blob data to an earlier state.
</t>
  </si>
  <si>
    <t>1b965cb9-7629-214e-b682-6bf6e450a100</t>
  </si>
  <si>
    <t>Monitor all blob storage accounts</t>
  </si>
  <si>
    <t>Enhanced alerting and log analysis</t>
  </si>
  <si>
    <t>https://learn.microsoft.com/azure/storage/blobs/monitor-blob-storage</t>
  </si>
  <si>
    <t xml:space="preserve">For critical applications and business processes relying on Azure, monitoring and alerts are crucial. Resource logs are only stored after creating a diagnostic setting to route logs to specified locations, requiring selection of log categories to collect.
</t>
  </si>
  <si>
    <t>96cb8331-6b06-8242-8ce8-4e2f665dc679</t>
  </si>
  <si>
    <t>Deploy Network Watcher in all regions where you have networking services</t>
  </si>
  <si>
    <t>Enhanced monitoring and diagnostics for Azure IaaS</t>
  </si>
  <si>
    <t>https://learn.microsoft.com/azure/network-watcher/network-watcher-overview</t>
  </si>
  <si>
    <t xml:space="preserve">Azure Network Watcher offers tools for monitoring, diagnosing, viewing metrics, and managing logs for IaaS resources. It helps maintain the health of VMs, VNets, application gateways, load balancers, but not for PaaS or Web analytics.
</t>
  </si>
  <si>
    <t>4e133bd0-8762-bc40-a95b-b29142427d73</t>
  </si>
  <si>
    <t>Configure Network Watcher Connection monitor</t>
  </si>
  <si>
    <t>Improves monitoring for Azure and Hybrid connectivity</t>
  </si>
  <si>
    <t>https://learn.microsoft.com/azure/network-watcher/connection-monitor-overview</t>
  </si>
  <si>
    <t xml:space="preserve">Improves monitoring for Azure and Hybrid connectivity
</t>
  </si>
  <si>
    <t>1e28bbc1-1eb7-486f-8d7f-93943f40219c</t>
  </si>
  <si>
    <t>Microsoft.Network/networkSecurityGroups</t>
  </si>
  <si>
    <t>Configure Diagnostic Settings for all network security groups</t>
  </si>
  <si>
    <t>Enhanced monitoring and security insights</t>
  </si>
  <si>
    <t>https://learn.microsoft.com/azure/azure-monitor/essentials/diagnostic-settings</t>
  </si>
  <si>
    <t xml:space="preserve">Resource Logs are not collected and stored until you create a diagnostic setting and route them to one or more locations.
</t>
  </si>
  <si>
    <t>d2976d3e-294b-4b49-a1f0-c42566a3758f</t>
  </si>
  <si>
    <t>ModificationAlert: Not configured/Disabled</t>
  </si>
  <si>
    <t>Monitor changes in Network Security Groups with Azure Monitor</t>
  </si>
  <si>
    <t>Enhanced security and change monitoring</t>
  </si>
  <si>
    <t>https://learn.microsoft.com/azure/azure-monitor/essentials/activity-log?tabs=powershell</t>
  </si>
  <si>
    <t xml:space="preserve">Create Alerts with Azure Monitor for operations like creating or updating Network Security Group rules to catch unauthorized/undesired changes to resources and spot attempts to bypass firewalls or access resources from the outside.
</t>
  </si>
  <si>
    <t>8bb4a57b-55e4-d24e-9c19-2679d8bc779f</t>
  </si>
  <si>
    <t>Microsoft.Network/virtualNetworks</t>
  </si>
  <si>
    <t>/subscriptions/508d4c26-18a2-4b58-b83d-5535758910b0/resourcegroups/scaa0/providers/microsoft.network/virtualnetworks/scaa0-vnet</t>
  </si>
  <si>
    <t>Missing Vnet Flow Log configuration</t>
  </si>
  <si>
    <t>Enable Virtual Network Flow Logs</t>
  </si>
  <si>
    <t>Improves monitoring and security for Azure connectivity</t>
  </si>
  <si>
    <t>https://learn.microsoft.com/azure/network-watcher/vnet-flow-logs-overview</t>
  </si>
  <si>
    <t xml:space="preserve">Improves monitoring and security for Azure and Hybrid connectivity
</t>
  </si>
  <si>
    <t>06b77be9-56a3-4d41-b362-8b295c5a283d</t>
  </si>
  <si>
    <t>/subscriptions/508d4c26-18a2-4b58-b83d-5535758910b0/resourcegroups/peeringtest-rg/providers/microsoft.network/virtualnetworks/sub1peeringvnet0</t>
  </si>
  <si>
    <t>/subscriptions/508d4c26-18a2-4b58-b83d-5535758910b0/resourcegroups/peeringtest-rg/providers/microsoft.network/virtualnetworks/sub1peeringvnet1</t>
  </si>
  <si>
    <t>/subscriptions/508d4c26-18a2-4b58-b83d-5535758910b0/resourcegroups/sub1vnet-rg/providers/microsoft.network/virtualnetworks/sub1vnet</t>
  </si>
  <si>
    <t>Microsoft.DocumentDB/databaseAccounts</t>
  </si>
  <si>
    <t>East US 2</t>
  </si>
  <si>
    <t>Enable availability zones</t>
  </si>
  <si>
    <t>Enhances high availability</t>
  </si>
  <si>
    <t>https://learn.microsoft.com/azure/reliability/reliability-cosmos-db-nosql</t>
  </si>
  <si>
    <t xml:space="preserve">When availability zones are configured, Azure Cosmos DB intelligently distributes the 4 replicas of your data across all available zones. It ensures that your Azure Cosmos DB can withstand an outage in one availability zone and remain fully operational throughout.
</t>
  </si>
  <si>
    <t>921631f6-ed59-49a5-94c1-f0f3ececa580</t>
  </si>
  <si>
    <t>Monitor Cosmos DB health and set up alerts</t>
  </si>
  <si>
    <t>Proactive issue management</t>
  </si>
  <si>
    <t>https://learn.microsoft.com/azure/cosmos-db/create-alerts</t>
  </si>
  <si>
    <t xml:space="preserve">Monitoring the availability and responsiveness of Azure Cosmos DB resources and having alerts set up for your workload is a good practice. This ensures you stay proactive in handling unforeseen events.
</t>
  </si>
  <si>
    <t>deaea200-013c-414b-ac9f-bfa7a7fb13f0</t>
  </si>
  <si>
    <t>Microsoft.Search/searchServices</t>
  </si>
  <si>
    <t>Enable AZ support in AI Search by configuring multiple replicas to your search service</t>
  </si>
  <si>
    <t>High availability</t>
  </si>
  <si>
    <t>https://learn.microsoft.com/azure/search/search-reliability#availability-zone-support</t>
  </si>
  <si>
    <t xml:space="preserve">Availability zones are used when adding multiple replicas to your search service. Each replica is assigned to a different zone in the region. If there are more replicas than zones, they are distributed as evenly as possible across the available zones.
</t>
  </si>
  <si>
    <t>b376281d-bfec-4695-8f90-9a44544fdfa4</t>
  </si>
  <si>
    <t>Enable Multi Region deployments for AI Search</t>
  </si>
  <si>
    <t>https://learn.microsoft.com/azure/search/search-reliability#multiple-services-in-separate-geographic-regions</t>
  </si>
  <si>
    <t xml:space="preserve">Azure AI Search lacks automatic failover. For continuity and global reach, deploy multiple services in different regions. Sync data via indexers or REST APIs, and manage routing with Azure Traffic Manager.
</t>
  </si>
  <si>
    <t>dff62efe-c3a3-4621-98b3-c877c65cb195</t>
  </si>
  <si>
    <t>REQUIRED ACTIONS: ResourceType not available in APRL/Advisor._x000D_
This Resource Type does not have recommendations in APRL or Advisor, then follow these steps:_x000D_
1. Manually validate this resource and create your own resiliency and/or reliability-related recommendations, if applicable._x000D_
2. When creating a new recommendation, ensure the following fields are populated: Title, Impact, Potential Benefit, Description, ResourceType, and Learn More Link._x000D_
3. Duplicate this row if you need to create more than one recommendation for the same resource._x000D_
4. If the resource is not compliant with your recommendation,  update this cell to "Reviewed"._x000D_
or_x000D_
5. Delete this row if this resource is irrelevant or is already compliant with your recommendation.</t>
  </si>
  <si>
    <t>Use NAT gateway for outbound connectivity</t>
  </si>
  <si>
    <t>56f0c458-521d-4b8b-a704-c0a099483d19</t>
  </si>
  <si>
    <t>ADVISOR</t>
  </si>
  <si>
    <t>/subscriptions/508d4c26-18a2-4b58-b83d-5535758910b0/resourcegroups/scaa0/providers/microsoft.web/sites/app-scaa0-eus2-dev-zzhkrt</t>
  </si>
  <si>
    <t>Enable Health check for App Service</t>
  </si>
  <si>
    <t>72063b96-92fa-4b74-9457-b84b662155f9</t>
  </si>
  <si>
    <t>/subscriptions/508d4c26-18a2-4b58-b83d-5535758910b0/resourcegroups/scaa0/providers/microsoft.web/serverfarms/asp-scaa0-eus2-dev</t>
  </si>
  <si>
    <t>Use zone-supported App Service Plan</t>
  </si>
  <si>
    <t>fac3022a-eda5-44b9-b54d-cb500d1d01dd</t>
  </si>
  <si>
    <t>Set minimum instance count for App Service to 2</t>
  </si>
  <si>
    <t>e987dcce-fd2c-4683-8abf-f1a34bbad737</t>
  </si>
  <si>
    <t>Use Standard or Premium tier</t>
  </si>
  <si>
    <t>dc298556-8232-4aa8-bfe0-5204c5017be0</t>
  </si>
  <si>
    <t>/subscriptions/508d4c26-18a2-4b58-b83d-5535758910b0/resourcegroups/scaa0/providers/microsoft.storage/storageaccounts/stscaa0eus2devzzhk</t>
  </si>
  <si>
    <t>Enable zone redundancy for storage accounts to improve high availability and resiliency</t>
  </si>
  <si>
    <t>4c10f447-fc3d-48b5-931d-23cea8486023</t>
  </si>
  <si>
    <t>Enable Soft Delete to protect your blob data</t>
  </si>
  <si>
    <t>42dbf883-9e4b-4f84-9da4-232b87c4b5e9</t>
  </si>
  <si>
    <t>/subscriptions/508d4c26-18a2-4b58-b83d-5535758910b0/resourcegroups/scaa0/providers/microsoft.search/searchservices/srch-scaa0-eus2-dev-zzhkrt</t>
  </si>
  <si>
    <t>Add a replica for instance of the Azure AI Search</t>
  </si>
  <si>
    <t>98acf571-d0a4-4111-993c-829f91b8c71b</t>
  </si>
  <si>
    <t>/subscriptions/508d4c26-18a2-4b58-b83d-5535758910b0/resourcegroups/scaa0/providers/microsoft.documentdb/databaseaccounts/cosmos-scaa0-eus2-dev-zzhkrt</t>
  </si>
  <si>
    <t>Improve resiliency by migrating your Azure Cosmos DB accounts to continuous backup</t>
  </si>
  <si>
    <t>52fef986-5897-4359-8b92-0f22749f0d73</t>
  </si>
  <si>
    <t>/subscriptions/508d4c26-18a2-4b58-b83d-5535758910b0/resourcegroups/monitoring/providers/microsoft.storage/storageaccounts/pauharritest0sa</t>
  </si>
  <si>
    <t>/subscriptions/508d4c26-18a2-4b58-b83d-5535758910b0/resourcegroups/mcapsgovernance/providers/microsoft.storage/storageaccounts/mcapsb83d5535758910b0</t>
  </si>
  <si>
    <t>microsoft.subscription/subscriptions</t>
  </si>
  <si>
    <t>N/A</t>
  </si>
  <si>
    <t>/subscriptions/508d4c26-18a2-4b58-b83d-5535758910b0</t>
  </si>
  <si>
    <t>Create an Azure Service Health alert</t>
  </si>
  <si>
    <t>242639fd-cd73-4be2-8f55-70478db8d1a5</t>
  </si>
  <si>
    <t>REQUIRED ACTIONS: Azure Service Health - Service Retirements._x000D_
This Service Health Retirement Notification was automatically imported to your workload review according to the Subscriptions being assessed and Services being used._x000D_
1. Review and if necessary summarize the cell "Recommendation Title."_x000D_
2. Retrieve the Resource Name and Resource ID of the impacted resources from the Azure Portal._x000D_
3. If more resources are associated with the same Service Retirement Notification, duplicate this row and update it with the Resource Name and Resource ID for all applicable resources._x000D_
4. Once completed, update this cell to "Reviewed"._x000D_
or_x000D_
5. If this Service Retirement Notification is not relevant, delete this row.</t>
  </si>
  <si>
    <t>Retirements</t>
  </si>
  <si>
    <t>Microsoft Sentinel</t>
  </si>
  <si>
    <t>RG name not needed</t>
  </si>
  <si>
    <t>Location not needed</t>
  </si>
  <si>
    <t>Get ResourceName from Azure Portal</t>
  </si>
  <si>
    <t>Get ResourceID from Azure Portal</t>
  </si>
  <si>
    <t>Retirement update: Support for Microsoft Sentinel in the Azure portal has been extended to 31 March 2027</t>
  </si>
  <si>
    <t xml:space="preserve">You're receiving this notification because you're associated with one or more Azure subscriptions that use Microsoft Sentinel._x000D_
In July 2025, we announced that Microsoft Sentinel customers would need to migrate their environments from the Azure portal to the Microsoft Defender portal by 1 July 2026. Since then, we've received consistent feedback from customers that additional time is required to complete this transition._x000D_
To ensure all customers can migrate to the Defender portal without disruption, we're extending support for Microsoft Sentinel in the Azure portal to 31 March 2027._x000D_
If you've already migrated to the Defender portal, no further action is required._x000D_
</t>
  </si>
  <si>
    <t>GUID not needed</t>
  </si>
  <si>
    <t>Azure Service Health - Service Retirements</t>
  </si>
  <si>
    <t>8H7Z-GK8</t>
  </si>
  <si>
    <t>REQUIRED ACTIONS: Well-Architected Framework._x000D_
This is a generic recommendation from the Well-Architected Framework - Reliability pillar. It cannot be validated automatically and need information from the Discovery Workshop session._x000D_
1. Review and update this row based on the Discovery Workshop Questionnaire._x000D_
2. If this recommendation is applicable, update the "Impact" column according to the importance for the Workload and then update this cell to "Reviewed"._x000D_
or_x000D_
3. If this recommendation is not relevant, delete this row.</t>
  </si>
  <si>
    <t>WAF</t>
  </si>
  <si>
    <t>Microsoft.Subscription/Subscriptions</t>
  </si>
  <si>
    <t>Entire Workload</t>
  </si>
  <si>
    <t>RE:01 Design your workload to align with business objectives</t>
  </si>
  <si>
    <t>Meet business requirements</t>
  </si>
  <si>
    <t>https://learn.microsoft.com/azure/well-architected/reliability/simplify</t>
  </si>
  <si>
    <t xml:space="preserve">Design your workload to align with business objectives and avoid unnecessary complexity or overhead. Use a practical and balanced approach to make design decisions that deliver the desired results. Contain your design to the necessities to reduce inefficiencies and potential problems.
</t>
  </si>
  <si>
    <t>8c0a0a4c-9e34-41af-9f6d-89d8dc00370e</t>
  </si>
  <si>
    <t>Well Architected</t>
  </si>
  <si>
    <t>RE:02 Identify and rate user and system flows</t>
  </si>
  <si>
    <t>Align architecture with reliability goals</t>
  </si>
  <si>
    <t>https://learn.microsoft.com/azure/well-architected/reliability/identify-flows</t>
  </si>
  <si>
    <t xml:space="preserve">Identify and rate user and system flows. Use a criticality scale based on your business requirements to prioritize the flows.
</t>
  </si>
  <si>
    <t>74415e66-7baf-43f3-8def-164bc7b48215</t>
  </si>
  <si>
    <t>RE:03 Use failure mode analysis to identify and prioritize potential failures</t>
  </si>
  <si>
    <t>Reduce risk of unpredicted behavior</t>
  </si>
  <si>
    <t>https://learn.microsoft.com/azure/well-architected/reliability/failure-mode-analysis</t>
  </si>
  <si>
    <t xml:space="preserve">Use failure mode analysis (FMA) to identify and prioritize potential failures in your solution components. Perform FMA to help you assess the risk and effect of each failure mode. Determine how the workload responds and recovers.
</t>
  </si>
  <si>
    <t>f5fbe3d4-7196-46b8-9b09-0e29e7cf43ac</t>
  </si>
  <si>
    <t>RE:04 Define reliability and recovery targets</t>
  </si>
  <si>
    <t>Communicate reliability expectations with stakeholders</t>
  </si>
  <si>
    <t>https://learn.microsoft.com/azure/well-architected/reliability/metrics</t>
  </si>
  <si>
    <t xml:space="preserve">Define reliability and recovery targets for the components, the flows, and the overall solution. Use the defined targets to build the health model. The health model defines what healthy, degraded, and unhealthy states look like.
</t>
  </si>
  <si>
    <t>2c41b97c-af27-47b5-aafb-81bbf95fe8ba</t>
  </si>
  <si>
    <t>RE:05 Design for redundancy</t>
  </si>
  <si>
    <t>Optimize for resiliency</t>
  </si>
  <si>
    <t>https://learn.microsoft.com/azure/well-architected/reliability/redundancy</t>
  </si>
  <si>
    <t xml:space="preserve">Add redundancy at different levels, especially for critical flows. Apply redundancy to the compute, data, network, and other infrastructure tiers in accordance with the identified reliability targets.
</t>
  </si>
  <si>
    <t>e404ef3f-e427-4e43-a1df-09da987e744f</t>
  </si>
  <si>
    <t>RE:05 Design for multi-region high availability</t>
  </si>
  <si>
    <t>Minimize downtime from regional outages</t>
  </si>
  <si>
    <t>https://learn.microsoft.com/azure/well-architected/reliability/highly-available-multi-region-design</t>
  </si>
  <si>
    <t xml:space="preserve">High availability is a foundational tenet of designing for reliability. A highly available architecture can help you avoid downtime as much as possible and recover efficiently if downtime does occur.
</t>
  </si>
  <si>
    <t>df93ae26-260e-408f-860c-42cd189f8bf8</t>
  </si>
  <si>
    <t>RE:05 Design for high availability with availability zones</t>
  </si>
  <si>
    <t>Minimize downtime from zonal outages</t>
  </si>
  <si>
    <t>https://learn.microsoft.com/azure/well-architected/reliability/regions-availability-zones</t>
  </si>
  <si>
    <t>3d6adb0a-042f-47f7-a7ea-db2e360903d5</t>
  </si>
  <si>
    <t>RE:06 Design for data partitioning</t>
  </si>
  <si>
    <t>Improve data estate reliability</t>
  </si>
  <si>
    <t>https://learn.microsoft.com/azure/well-architected/reliability/partition-data</t>
  </si>
  <si>
    <t xml:space="preserve">Partitioning data improves scalability, reduces contention, and optimizes performance. Implement data partitioning to divide data by usage pattern.
</t>
  </si>
  <si>
    <t>7f0b9ea3-0159-4ea7-b854-a4313fe76d7f</t>
  </si>
  <si>
    <t>RE:06 Design for reliable scaling</t>
  </si>
  <si>
    <t>Dynamically handle increased load</t>
  </si>
  <si>
    <t>https://learn.microsoft.com/azure/well-architected/reliability/scaling</t>
  </si>
  <si>
    <t xml:space="preserve">Implement a timely and reliable scaling strategy at the application, data, and infrastructure levels.
</t>
  </si>
  <si>
    <t>340fe5c3-d599-448a-8e52-15e96771a3f0</t>
  </si>
  <si>
    <t>RE:07 Implement self-preservation and self-healing measures</t>
  </si>
  <si>
    <t>Reduce the likelihood of outages</t>
  </si>
  <si>
    <t>https://learn.microsoft.com/azure/well-architected/reliability/self-preservation</t>
  </si>
  <si>
    <t xml:space="preserve">Strengthen the resiliency and recoverability of your workload by implementing self-preservation and self-healing measures. Self-healing capabilities help you avoid downtime by building in failure detection and automatic corrective actions to respond to different failure types.
</t>
  </si>
  <si>
    <t>7b5008cf-1853-44c4-827d-bca091678c3f</t>
  </si>
  <si>
    <t>RE:08 Design a reliability testing strategy</t>
  </si>
  <si>
    <t>Validate and optimize workload reliability</t>
  </si>
  <si>
    <t>https://learn.microsoft.com/azure/well-architected/reliability/testing-strategy</t>
  </si>
  <si>
    <t xml:space="preserve">Test resiliency and availability scenarios by applying the principles of chaos engineering in your test and production environments. Use testing to ensure that your graceful degradation implementation and scaling strategies are effective by performing active malfunction and simulated load testing.
</t>
  </si>
  <si>
    <t>7db74a6a-4062-46a8-a0cd-18684fb0ec08</t>
  </si>
  <si>
    <t>RE:09 Implement business continuity and disaster recovery plan</t>
  </si>
  <si>
    <t>Reliable disaster recovery</t>
  </si>
  <si>
    <t>https://learn.microsoft.com/azure/well-architected/reliability/disaster-recovery</t>
  </si>
  <si>
    <t xml:space="preserve">Implement structured, tested, and documented business continuity and disaster recovery (BCDR) plans that align with the recovery targets. Plans must cover all components and the system as a whole.
</t>
  </si>
  <si>
    <t>5f95df03-cae2-4761-90b7-7afd657ac124</t>
  </si>
  <si>
    <t>RE:10 Design a reliable monitoring and alerting strategy</t>
  </si>
  <si>
    <t>Observability into workload health</t>
  </si>
  <si>
    <t>https://learn.microsoft.com/azure/well-architected/reliability/monitoring-alerting-strategy</t>
  </si>
  <si>
    <t xml:space="preserve">Measure and publish the solution's health indicators. Continuously capture uptime and other reliability data from across the workload and also from individual components and key flows.
</t>
  </si>
  <si>
    <t>90adebf7-bc90-4939-9aa8-119c46bee0fc</t>
  </si>
  <si>
    <t>REQUIRED ACTIONS: Architectural and Reliability Design Patterns Recommendations_x000D_
This row is just an example. Modify it and create your own personalized recommendations for architecture and/or reliability design patterns._x000D_
1. Create new custom recommendations based on the Discovery Workshop Questionnaire._x000D_
2. Associate it with the SubscriptionId and "Microsoft.Subscription/Subscriptions" as the associated "resourceType", or any resource and ResourceType that you consider applicable._x000D_
3. Once completed, update this cell to "Reviewed"._x000D_
or_x000D_
4. Delete this row if no personalized/custom recommendations will be provided.</t>
  </si>
  <si>
    <t>Architectural</t>
  </si>
  <si>
    <t>Governance</t>
  </si>
  <si>
    <t>Tracking ID</t>
  </si>
  <si>
    <t>Event Type</t>
  </si>
  <si>
    <t>Event Source</t>
  </si>
  <si>
    <t>Status</t>
  </si>
  <si>
    <t>Title</t>
  </si>
  <si>
    <t>Level</t>
  </si>
  <si>
    <t>Event Level</t>
  </si>
  <si>
    <t>Start Time</t>
  </si>
  <si>
    <t>Mitigation Time</t>
  </si>
  <si>
    <t>Impacted Service</t>
  </si>
  <si>
    <t>What happened</t>
  </si>
  <si>
    <t>What went wrong and why</t>
  </si>
  <si>
    <t>How did we respond</t>
  </si>
  <si>
    <t>How are we making incidents like this less likely or less impactful</t>
  </si>
  <si>
    <t>How can customers make incidents like this less impactful</t>
  </si>
  <si>
    <t>REQUIRED ACTIONS: Review Platform Issue and create recommendations._x000D_
This Platform Issue may have affected the workload, since it cannot be validated automatically, follow these steps:_x000D_
1. Review all information about the Platform Issue._x000D_
2. Discuss with the Account Team/Workload Owner if this Platform Issue affected the workload and how, you can also check if there are associated Support Requests._x000D_
3. If this issue affected the workload, create recommendations in the "4.ImpactedResourcesAnalysis" worksheet based on the "How can customers make incidents like this less impactful" field. You can associate the recommendation(s) with the Workload or individual resources._x000D_
4. If the recommendation(s) already exists, simply add the TrackingID to the respective column of the associated Recommendation(s)._x000D_
or_x000D_
5. Delete this row if the workload was not affected by this Platform Issue.</t>
  </si>
  <si>
    <t>Ticket ID</t>
  </si>
  <si>
    <t>Severity</t>
  </si>
  <si>
    <t>Support Plan Type</t>
  </si>
  <si>
    <t>Creation Date</t>
  </si>
  <si>
    <t>Modified Date</t>
  </si>
  <si>
    <t>Related Resource</t>
  </si>
  <si>
    <t>REQUIRED ACTIONS: Review Customer Support Requests and create recommendations._x000D_
This Customer Support Request is associated with the Subscription of the workload, since it cannot be validated automatically, follow these steps:_x000D_
1. Review all information about the Support Request in the Azure Portal._x000D_
2. Discuss with Workload Owner if this Support Request affected the workload and how._x000D_
3. If this Support Request was relevant for the workload, create recommendations in the "4.ImpactedResourcesAnalysis" worksheet based on it was resolved. You can associate the recommendation(s) with the Workload or individual resources. The goal is to make sure other resources or services follow the Microsoft recommendation/solution and prevent this incident from happening again._x000D_
4. If the recommendation(s) already exists, simply add the TicketID to the respective column of the associated Recommendation(s)._x000D_
or_x000D_
5. Delete this row if the workload was not affected, associated with this Support Request.</t>
  </si>
  <si>
    <t>Number of Resources</t>
  </si>
  <si>
    <t>Impacted Resources</t>
  </si>
  <si>
    <t>Has Recommendations
in APRL/Advisor</t>
  </si>
  <si>
    <t>Assessment Owner</t>
  </si>
  <si>
    <t>Assessment Status</t>
  </si>
  <si>
    <t>Yes</t>
  </si>
  <si>
    <t>No</t>
  </si>
  <si>
    <t>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</si>
</sst>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x14ac:knownFonts="1">
    <font>
      <sz val="11"/>
      <name val="Calibri"/>
    </font>
    <font>
      <sz val="11"/>
      <color theme="1"/>
      <name val="Aptos Narrow"/>
      <family val="2"/>
      <scheme val="minor"/>
    </font>
    <font>
      <sz val="11"/>
      <name val="Calibri"/>
      <family val="2"/>
    </font>
    <font>
      <sz val="14"/>
      <name val="Aptos Display"/>
      <family val="2"/>
      <scheme val="major"/>
    </font>
    <font>
      <sz val="11"/>
      <name val="Aptos Display"/>
      <family val="2"/>
      <scheme val="major"/>
    </font>
    <font>
      <b/>
      <sz val="14"/>
      <name val="Aptos Display"/>
      <family val="2"/>
      <scheme val="major"/>
    </font>
    <font>
      <b/>
      <sz val="12"/>
      <name val="Aptos Display"/>
      <family val="2"/>
      <scheme val="major"/>
    </font>
    <font>
      <b/>
      <sz val="18"/>
      <color theme="0"/>
      <name val="Aptos Display"/>
      <family val="2"/>
      <scheme val="major"/>
    </font>
    <font>
      <b/>
      <sz val="14"/>
      <color theme="0"/>
      <name val="Aptos Display"/>
      <family val="2"/>
      <scheme val="major"/>
    </font>
    <font>
      <b/>
      <sz val="22"/>
      <color theme="0"/>
      <name val="Aptos Display"/>
      <family val="2"/>
      <scheme val="major"/>
    </font>
    <font>
      <sz val="12"/>
      <color theme="0"/>
      <name val="Aptos Display"/>
      <family val="2"/>
      <scheme val="major"/>
    </font>
    <font>
      <sz val="12"/>
      <color theme="3" tint="0.249977111117893"/>
      <name val="Aptos Display"/>
      <family val="2"/>
      <scheme val="major"/>
    </font>
    <font>
      <sz val="10"/>
      <name val="Aptos Display"/>
      <family val="2"/>
      <scheme val="major"/>
    </font>
    <font>
      <b/>
      <sz val="12"/>
      <color theme="0"/>
      <name val="Aptos Display"/>
      <family val="2"/>
      <scheme val="major"/>
    </font>
    <font>
      <b/>
      <sz val="10"/>
      <color theme="0"/>
      <name val="Aptos Display"/>
      <family val="2"/>
      <scheme val="major"/>
    </font>
    <font>
      <sz val="9"/>
      <name val="Calibri"/>
      <family val="2"/>
    </font>
    <font>
      <b/>
      <sz val="9"/>
      <color theme="0"/>
      <name val="Aptos Display"/>
      <family val="2"/>
      <scheme val="major"/>
    </font>
    <font>
      <b/>
      <sz val="11"/>
      <color rgb="FFFFFFFF"/>
      <name val="Aptos Display"/>
      <family val="2"/>
      <scheme val="major"/>
    </font>
    <font>
      <sz val="10"/>
      <name val="Calibri"/>
      <family val="2"/>
    </font>
    <font>
      <sz val="11"/>
      <color rgb="FFFFFFFF"/>
      <name val="Aptos Display"/>
      <family val="2"/>
      <scheme val="major"/>
    </font>
    <font>
      <sz val="12"/>
      <name val="Aptos Display"/>
      <family val="2"/>
      <scheme val="major"/>
    </font>
    <font>
      <sz val="11"/>
      <color rgb="FF000000"/>
      <name val="Calibri"/>
      <family val="2"/>
    </font>
    <font>
      <sz val="11"/>
      <color theme="1"/>
      <name val="Calibri"/>
      <family val="2"/>
    </font>
    <font>
      <sz val="11"/>
      <color theme="1" tint="0.34998626667073579"/>
      <name val="Aptos Display"/>
      <family val="2"/>
      <scheme val="major"/>
    </font>
    <font>
      <sz val="11"/>
      <color rgb="FF000000"/>
      <name val="Calibri"/>
    </font>
    <font>
      <sz val="10"/>
      <color rgb="FF000000"/>
      <name val="Aptos Display"/>
      <scheme val="major"/>
    </font>
    <font>
      <b/>
      <sz val="10"/>
      <color rgb="FF000000"/>
      <name val="Aptos Display"/>
      <scheme val="major"/>
    </font>
    <font>
      <b/>
      <sz val="10"/>
      <name val="Aptos Display"/>
      <family val="2"/>
      <scheme val="major"/>
    </font>
  </fonts>
  <fills count="20">
    <fill>
      <patternFill patternType="none"/>
    </fill>
    <fill>
      <patternFill patternType="gray125"/>
    </fill>
    <fill>
      <patternFill patternType="solid">
        <fgColor theme="4" tint="-0.249977111117893"/>
        <bgColor indexed="64"/>
      </patternFill>
    </fill>
    <fill>
      <patternFill patternType="solid">
        <fgColor theme="0" tint="-4.9989318521683403E-2"/>
        <bgColor indexed="64"/>
      </patternFill>
    </fill>
    <fill>
      <patternFill patternType="solid">
        <fgColor theme="1" tint="0.249977111117893"/>
        <bgColor indexed="64"/>
      </patternFill>
    </fill>
    <fill>
      <patternFill patternType="solid">
        <fgColor theme="7" tint="-0.249977111117893"/>
        <bgColor indexed="64"/>
      </patternFill>
    </fill>
    <fill>
      <patternFill patternType="solid">
        <fgColor theme="0" tint="-0.14999847407452621"/>
        <bgColor indexed="64"/>
      </patternFill>
    </fill>
    <fill>
      <patternFill patternType="solid">
        <fgColor theme="3" tint="0.499984740745262"/>
        <bgColor indexed="64"/>
      </patternFill>
    </fill>
    <fill>
      <patternFill patternType="solid">
        <fgColor theme="8" tint="-0.249977111117893"/>
        <bgColor indexed="64"/>
      </patternFill>
    </fill>
    <fill>
      <patternFill patternType="solid">
        <fgColor rgb="FF00B050"/>
        <bgColor indexed="64"/>
      </patternFill>
    </fill>
    <fill>
      <patternFill patternType="solid">
        <fgColor rgb="FFC00000"/>
        <bgColor indexed="64"/>
      </patternFill>
    </fill>
    <fill>
      <patternFill patternType="solid">
        <fgColor rgb="FFF38307"/>
        <bgColor indexed="64"/>
      </patternFill>
    </fill>
    <fill>
      <patternFill patternType="solid">
        <fgColor theme="9" tint="-0.499984740745262"/>
        <bgColor indexed="64"/>
      </patternFill>
    </fill>
    <fill>
      <patternFill patternType="solid">
        <fgColor rgb="FFFF657B"/>
        <bgColor indexed="64"/>
      </patternFill>
    </fill>
    <fill>
      <patternFill patternType="solid">
        <fgColor theme="1" tint="0.34998626667073579"/>
        <bgColor indexed="64"/>
      </patternFill>
    </fill>
    <fill>
      <patternFill patternType="solid">
        <fgColor rgb="FFEE9432"/>
        <bgColor indexed="64"/>
      </patternFill>
    </fill>
    <fill>
      <patternFill patternType="solid">
        <fgColor theme="3" tint="0.249977111117893"/>
        <bgColor indexed="64"/>
      </patternFill>
    </fill>
    <fill>
      <patternFill patternType="solid">
        <fgColor theme="4"/>
        <bgColor indexed="64"/>
      </patternFill>
    </fill>
    <fill>
      <patternFill patternType="solid">
        <fgColor theme="7"/>
        <bgColor indexed="64"/>
      </patternFill>
    </fill>
    <fill>
      <patternFill patternType="solid">
        <fgColor theme="9"/>
        <bgColor indexed="64"/>
      </patternFill>
    </fill>
  </fills>
  <borders count="7">
    <border>
      <left/>
      <right/>
      <top/>
      <bottom/>
      <diagonal/>
    </border>
    <border>
      <left/>
      <right style="thin">
        <color auto="1"/>
      </right>
      <top/>
      <bottom/>
      <diagonal/>
    </border>
    <border>
      <left style="thin">
        <color auto="1"/>
      </left>
      <right style="thin">
        <color auto="1"/>
      </right>
      <top/>
      <bottom/>
      <diagonal/>
    </border>
    <border>
      <left style="thin">
        <color auto="1"/>
      </left>
      <right/>
      <top/>
      <bottom/>
      <diagonal/>
    </border>
    <border>
      <left style="thin">
        <color indexed="64"/>
      </left>
      <right style="thin">
        <color indexed="64"/>
      </right>
      <top style="thin">
        <color indexed="64"/>
      </top>
      <bottom style="thin">
        <color indexed="64"/>
      </bottom>
      <diagonal/>
    </border>
    <border>
      <left style="thin">
        <color theme="7"/>
      </left>
      <right/>
      <top/>
      <bottom/>
      <diagonal/>
    </border>
    <border>
      <left style="thin">
        <color theme="7"/>
      </left>
      <right style="thin">
        <color theme="7"/>
      </right>
      <top style="thin">
        <color theme="7"/>
      </top>
      <bottom/>
      <diagonal/>
    </border>
  </borders>
  <cellStyleXfs count="2">
    <xf numFmtId="0" fontId="0" fillId="0" borderId="0"/>
    <xf numFmtId="0" fontId="1" fillId="0" borderId="0"/>
  </cellStyleXfs>
  <cellXfs count="99">
    <xf numFmtId="0" fontId="0" fillId="0" borderId="0" xfId="0"/>
    <xf numFmtId="1" fontId="0" fillId="0" borderId="0" xfId="0" applyNumberFormat="1" applyAlignment="1">
      <alignment horizontal="center"/>
    </xf>
    <xf numFmtId="0" fontId="0" fillId="0" borderId="0" xfId="0" applyAlignment="1">
      <alignment horizontal="center" vertical="center" wrapText="1"/>
    </xf>
    <xf numFmtId="0" fontId="2" fillId="0" borderId="0" xfId="0" applyFont="1" applyAlignment="1">
      <alignment horizontal="center" vertical="center"/>
    </xf>
    <xf numFmtId="1" fontId="0" fillId="0" borderId="0" xfId="0" applyNumberFormat="1" applyAlignment="1">
      <alignment horizontal="center" vertical="center"/>
    </xf>
    <xf numFmtId="1" fontId="2" fillId="0" borderId="0" xfId="0" applyNumberFormat="1" applyFont="1" applyAlignment="1">
      <alignment horizontal="center" vertical="center"/>
    </xf>
    <xf numFmtId="1" fontId="2" fillId="0" borderId="0" xfId="0" applyNumberFormat="1" applyFont="1" applyAlignment="1">
      <alignment horizontal="center" vertical="center" wrapText="1"/>
    </xf>
    <xf numFmtId="1" fontId="0" fillId="0" borderId="0" xfId="0" applyNumberFormat="1" applyAlignment="1">
      <alignment horizontal="center" vertical="center" wrapText="1"/>
    </xf>
    <xf numFmtId="0" fontId="0" fillId="0" borderId="0" xfId="0" applyAlignment="1">
      <alignment horizontal="left" vertical="center"/>
    </xf>
    <xf numFmtId="1" fontId="2" fillId="0" borderId="0" xfId="0" applyNumberFormat="1" applyFont="1" applyAlignment="1">
      <alignment horizontal="left" vertical="center" wrapText="1"/>
    </xf>
    <xf numFmtId="0" fontId="4" fillId="0" borderId="0" xfId="0" applyFont="1"/>
    <xf numFmtId="0" fontId="4" fillId="3" borderId="0" xfId="0" applyFont="1" applyFill="1"/>
    <xf numFmtId="0" fontId="4" fillId="3" borderId="0" xfId="0" applyFont="1" applyFill="1" applyAlignment="1">
      <alignment wrapText="1"/>
    </xf>
    <xf numFmtId="0" fontId="0" fillId="3" borderId="0" xfId="0" applyFill="1"/>
    <xf numFmtId="1" fontId="6" fillId="3" borderId="0" xfId="0" applyNumberFormat="1" applyFont="1" applyFill="1" applyAlignment="1">
      <alignment horizontal="center" vertical="top" wrapText="1"/>
    </xf>
    <xf numFmtId="0" fontId="0" fillId="6" borderId="0" xfId="0" applyFill="1"/>
    <xf numFmtId="0" fontId="0" fillId="6" borderId="0" xfId="0" applyFill="1" applyAlignment="1">
      <alignment horizontal="center" vertical="center" wrapText="1"/>
    </xf>
    <xf numFmtId="0" fontId="2" fillId="0" borderId="0" xfId="0" applyFont="1" applyAlignment="1">
      <alignment horizontal="left" vertical="center" wrapText="1"/>
    </xf>
    <xf numFmtId="0" fontId="2" fillId="0" borderId="0" xfId="0" applyFont="1" applyAlignment="1">
      <alignment horizontal="left" vertical="center"/>
    </xf>
    <xf numFmtId="0" fontId="15" fillId="3" borderId="0" xfId="0" applyFont="1" applyFill="1"/>
    <xf numFmtId="1" fontId="16" fillId="15" borderId="1" xfId="0" applyNumberFormat="1" applyFont="1" applyFill="1" applyBorder="1" applyAlignment="1">
      <alignment horizontal="center" vertical="center" wrapText="1"/>
    </xf>
    <xf numFmtId="1" fontId="16" fillId="15" borderId="2" xfId="0" applyNumberFormat="1" applyFont="1" applyFill="1" applyBorder="1" applyAlignment="1">
      <alignment horizontal="center" vertical="center" wrapText="1"/>
    </xf>
    <xf numFmtId="1" fontId="16" fillId="15" borderId="3" xfId="0" applyNumberFormat="1" applyFont="1" applyFill="1" applyBorder="1" applyAlignment="1">
      <alignment horizontal="center" vertical="center" wrapText="1"/>
    </xf>
    <xf numFmtId="1" fontId="16" fillId="5" borderId="1" xfId="0" applyNumberFormat="1" applyFont="1" applyFill="1" applyBorder="1" applyAlignment="1">
      <alignment horizontal="center" vertical="center"/>
    </xf>
    <xf numFmtId="1" fontId="16" fillId="5" borderId="2" xfId="0" applyNumberFormat="1" applyFont="1" applyFill="1" applyBorder="1" applyAlignment="1">
      <alignment horizontal="center" vertical="center"/>
    </xf>
    <xf numFmtId="1" fontId="16" fillId="5" borderId="3" xfId="0" applyNumberFormat="1" applyFont="1" applyFill="1" applyBorder="1" applyAlignment="1">
      <alignment horizontal="center" vertical="center"/>
    </xf>
    <xf numFmtId="1" fontId="16" fillId="13" borderId="0" xfId="0" applyNumberFormat="1" applyFont="1" applyFill="1" applyAlignment="1">
      <alignment horizontal="center" vertical="center"/>
    </xf>
    <xf numFmtId="0" fontId="15" fillId="0" borderId="0" xfId="0" applyFont="1"/>
    <xf numFmtId="1" fontId="17" fillId="10" borderId="0" xfId="0" applyNumberFormat="1" applyFont="1" applyFill="1" applyAlignment="1">
      <alignment horizontal="center" vertical="center" wrapText="1"/>
    </xf>
    <xf numFmtId="1" fontId="17" fillId="4" borderId="0" xfId="0" applyNumberFormat="1" applyFont="1" applyFill="1" applyAlignment="1">
      <alignment horizontal="center" vertical="center" wrapText="1"/>
    </xf>
    <xf numFmtId="1" fontId="17" fillId="2" borderId="0" xfId="0" applyNumberFormat="1" applyFont="1" applyFill="1" applyAlignment="1">
      <alignment horizontal="center" vertical="center" wrapText="1"/>
    </xf>
    <xf numFmtId="1" fontId="17" fillId="14" borderId="0" xfId="0" applyNumberFormat="1" applyFont="1" applyFill="1" applyAlignment="1">
      <alignment horizontal="center" vertical="center" wrapText="1"/>
    </xf>
    <xf numFmtId="0" fontId="4" fillId="4" borderId="0" xfId="0" applyFont="1" applyFill="1"/>
    <xf numFmtId="1" fontId="18" fillId="0" borderId="0" xfId="0" applyNumberFormat="1" applyFont="1" applyAlignment="1">
      <alignment horizontal="center" vertical="center"/>
    </xf>
    <xf numFmtId="0" fontId="0" fillId="4" borderId="0" xfId="0" applyFill="1"/>
    <xf numFmtId="0" fontId="12" fillId="3" borderId="0" xfId="0" applyFont="1" applyFill="1" applyAlignment="1">
      <alignment horizontal="left" vertical="top" wrapText="1"/>
    </xf>
    <xf numFmtId="2" fontId="4" fillId="3" borderId="0" xfId="0" applyNumberFormat="1" applyFont="1" applyFill="1"/>
    <xf numFmtId="2" fontId="4" fillId="3" borderId="0" xfId="0" applyNumberFormat="1" applyFont="1" applyFill="1" applyAlignment="1">
      <alignment wrapText="1"/>
    </xf>
    <xf numFmtId="2" fontId="4" fillId="0" borderId="0" xfId="0" applyNumberFormat="1" applyFont="1"/>
    <xf numFmtId="0" fontId="12" fillId="3" borderId="4" xfId="0" applyFont="1" applyFill="1" applyBorder="1" applyAlignment="1">
      <alignment horizontal="left" vertical="top" wrapText="1"/>
    </xf>
    <xf numFmtId="0" fontId="8" fillId="7" borderId="0" xfId="0" applyFont="1" applyFill="1" applyAlignment="1">
      <alignment horizontal="left" vertical="center"/>
    </xf>
    <xf numFmtId="0" fontId="8" fillId="7" borderId="0" xfId="0" applyFont="1" applyFill="1" applyAlignment="1">
      <alignment horizontal="left" vertical="center" wrapText="1"/>
    </xf>
    <xf numFmtId="0" fontId="8" fillId="8" borderId="0" xfId="0" applyFont="1" applyFill="1" applyAlignment="1">
      <alignment horizontal="left" vertical="center"/>
    </xf>
    <xf numFmtId="0" fontId="8" fillId="8" borderId="0" xfId="0" applyFont="1" applyFill="1" applyAlignment="1">
      <alignment horizontal="left" vertical="center" wrapText="1"/>
    </xf>
    <xf numFmtId="0" fontId="8" fillId="9" borderId="0" xfId="0" applyFont="1" applyFill="1" applyAlignment="1">
      <alignment horizontal="left" vertical="center"/>
    </xf>
    <xf numFmtId="0" fontId="8" fillId="9" borderId="0" xfId="0" applyFont="1" applyFill="1" applyAlignment="1">
      <alignment horizontal="left" vertical="center" wrapText="1"/>
    </xf>
    <xf numFmtId="0" fontId="8" fillId="10" borderId="0" xfId="0" applyFont="1" applyFill="1" applyAlignment="1">
      <alignment horizontal="left" vertical="center"/>
    </xf>
    <xf numFmtId="0" fontId="8" fillId="10" borderId="0" xfId="0" applyFont="1" applyFill="1" applyAlignment="1">
      <alignment horizontal="left" vertical="center" wrapText="1"/>
    </xf>
    <xf numFmtId="0" fontId="8" fillId="11" borderId="0" xfId="0" applyFont="1" applyFill="1" applyAlignment="1">
      <alignment horizontal="left" vertical="center"/>
    </xf>
    <xf numFmtId="0" fontId="8" fillId="11" borderId="0" xfId="0" applyFont="1" applyFill="1" applyAlignment="1">
      <alignment horizontal="left" vertical="center" wrapText="1"/>
    </xf>
    <xf numFmtId="0" fontId="8" fillId="12" borderId="0" xfId="0" applyFont="1" applyFill="1" applyAlignment="1">
      <alignment horizontal="left" vertical="center"/>
    </xf>
    <xf numFmtId="0" fontId="8" fillId="12" borderId="0" xfId="0" applyFont="1" applyFill="1" applyAlignment="1">
      <alignment horizontal="left" vertical="center" wrapText="1"/>
    </xf>
    <xf numFmtId="0" fontId="4" fillId="4" borderId="0" xfId="0" applyFont="1" applyFill="1" applyAlignment="1">
      <alignment horizontal="right"/>
    </xf>
    <xf numFmtId="0" fontId="8" fillId="4" borderId="0" xfId="0" applyFont="1" applyFill="1" applyAlignment="1">
      <alignment horizontal="left" vertical="center"/>
    </xf>
    <xf numFmtId="0" fontId="7" fillId="4" borderId="0" xfId="0" applyFont="1" applyFill="1" applyAlignment="1">
      <alignment horizontal="left" vertical="center"/>
    </xf>
    <xf numFmtId="0" fontId="8" fillId="4" borderId="0" xfId="0" applyFont="1" applyFill="1" applyAlignment="1">
      <alignment horizontal="right" vertical="center"/>
    </xf>
    <xf numFmtId="1" fontId="9" fillId="4" borderId="0" xfId="0" applyNumberFormat="1" applyFont="1" applyFill="1" applyAlignment="1">
      <alignment horizontal="left" vertical="center"/>
    </xf>
    <xf numFmtId="0" fontId="5" fillId="4" borderId="0" xfId="0" applyFont="1" applyFill="1" applyAlignment="1">
      <alignment horizontal="left" vertical="center"/>
    </xf>
    <xf numFmtId="0" fontId="0" fillId="4" borderId="0" xfId="0" applyFill="1" applyAlignment="1">
      <alignment horizontal="center" vertical="center" wrapText="1"/>
    </xf>
    <xf numFmtId="1" fontId="19" fillId="10" borderId="0" xfId="0" applyNumberFormat="1" applyFont="1" applyFill="1" applyAlignment="1">
      <alignment horizontal="center" vertical="center" wrapText="1"/>
    </xf>
    <xf numFmtId="1" fontId="3" fillId="3" borderId="0" xfId="0" applyNumberFormat="1" applyFont="1" applyFill="1" applyAlignment="1">
      <alignment horizontal="left" vertical="center"/>
    </xf>
    <xf numFmtId="0" fontId="3" fillId="0" borderId="0" xfId="0" applyFont="1"/>
    <xf numFmtId="1" fontId="20" fillId="0" borderId="0" xfId="0" applyNumberFormat="1" applyFont="1" applyAlignment="1">
      <alignment horizontal="center" vertical="center"/>
    </xf>
    <xf numFmtId="1" fontId="3" fillId="0" borderId="0" xfId="0" applyNumberFormat="1" applyFont="1" applyAlignment="1">
      <alignment horizontal="center" vertical="center"/>
    </xf>
    <xf numFmtId="1" fontId="5" fillId="3" borderId="0" xfId="0" applyNumberFormat="1" applyFont="1" applyFill="1" applyAlignment="1">
      <alignment horizontal="left" vertical="center"/>
    </xf>
    <xf numFmtId="0" fontId="0" fillId="0" borderId="0" xfId="0" applyAlignment="1">
      <alignment horizontal="center" vertical="center"/>
    </xf>
    <xf numFmtId="0" fontId="0" fillId="0" borderId="5" xfId="0" applyBorder="1" applyAlignment="1">
      <alignment horizontal="center" vertical="center"/>
    </xf>
    <xf numFmtId="0" fontId="10" fillId="4" borderId="0" xfId="0" applyFont="1" applyFill="1" applyAlignment="1">
      <alignment horizontal="center" wrapText="1"/>
    </xf>
    <xf numFmtId="0" fontId="0" fillId="0" borderId="5" xfId="0" applyBorder="1" applyAlignment="1">
      <alignment horizontal="center" vertical="center" wrapText="1"/>
    </xf>
    <xf numFmtId="1" fontId="22" fillId="0" borderId="6" xfId="0" applyNumberFormat="1" applyFont="1" applyBorder="1" applyAlignment="1">
      <alignment horizontal="left" vertical="center" wrapText="1"/>
    </xf>
    <xf numFmtId="0" fontId="13" fillId="4" borderId="0" xfId="0" applyFont="1" applyFill="1" applyAlignment="1">
      <alignment horizontal="right" vertical="center"/>
    </xf>
    <xf numFmtId="0" fontId="13" fillId="4" borderId="0" xfId="0" applyFont="1" applyFill="1" applyAlignment="1">
      <alignment horizontal="left" vertical="center"/>
    </xf>
    <xf numFmtId="1" fontId="4" fillId="3" borderId="0" xfId="0" applyNumberFormat="1" applyFont="1" applyFill="1" applyAlignment="1">
      <alignment horizontal="center" vertical="center"/>
    </xf>
    <xf numFmtId="1" fontId="23" fillId="3" borderId="0" xfId="0" applyNumberFormat="1" applyFont="1" applyFill="1" applyAlignment="1">
      <alignment horizontal="center" vertical="center"/>
    </xf>
    <xf numFmtId="0" fontId="4" fillId="4" borderId="0" xfId="0" applyFont="1" applyFill="1" applyAlignment="1">
      <alignment horizontal="center" vertical="center"/>
    </xf>
    <xf numFmtId="0" fontId="4" fillId="4" borderId="0" xfId="0" applyFont="1" applyFill="1" applyAlignment="1">
      <alignment horizontal="right" vertical="center"/>
    </xf>
    <xf numFmtId="0" fontId="4" fillId="4" borderId="0" xfId="0" applyFont="1" applyFill="1" applyAlignment="1">
      <alignment horizontal="left" vertical="center"/>
    </xf>
    <xf numFmtId="1" fontId="6" fillId="3" borderId="0" xfId="0" applyNumberFormat="1" applyFont="1" applyFill="1" applyAlignment="1">
      <alignment horizontal="center" vertical="center" wrapText="1"/>
    </xf>
    <xf numFmtId="0" fontId="0" fillId="3" borderId="0" xfId="0" applyFill="1" applyAlignment="1">
      <alignment horizontal="center" vertical="center"/>
    </xf>
    <xf numFmtId="0" fontId="15" fillId="3" borderId="0" xfId="0" applyFont="1" applyFill="1" applyAlignment="1">
      <alignment horizontal="center" vertical="center"/>
    </xf>
    <xf numFmtId="1" fontId="21" fillId="0" borderId="0" xfId="0" applyNumberFormat="1" applyFont="1" applyAlignment="1">
      <alignment horizontal="center" vertical="center" wrapText="1"/>
    </xf>
    <xf numFmtId="0" fontId="4" fillId="4" borderId="0" xfId="0" applyFont="1" applyFill="1" applyAlignment="1">
      <alignment horizontal="center"/>
    </xf>
    <xf numFmtId="0" fontId="7" fillId="4" borderId="0" xfId="0" applyFont="1" applyFill="1" applyAlignment="1">
      <alignment horizontal="center" vertical="center"/>
    </xf>
    <xf numFmtId="0" fontId="8" fillId="4" borderId="0" xfId="0" applyFont="1" applyFill="1" applyAlignment="1">
      <alignment horizontal="center" vertical="center"/>
    </xf>
    <xf numFmtId="0" fontId="13" fillId="10" borderId="0" xfId="0" applyFont="1" applyFill="1" applyAlignment="1">
      <alignment horizontal="right" vertical="center"/>
    </xf>
    <xf numFmtId="0" fontId="13" fillId="10" borderId="0" xfId="0" applyFont="1" applyFill="1" applyAlignment="1">
      <alignment horizontal="left" vertical="center"/>
    </xf>
    <xf numFmtId="0" fontId="8" fillId="10" borderId="0" xfId="0" applyFont="1" applyFill="1" applyAlignment="1">
      <alignment horizontal="right" vertical="center"/>
    </xf>
    <xf numFmtId="1" fontId="24" fillId="0" borderId="0" xfId="0" applyNumberFormat="1" applyFont="1" applyAlignment="1">
      <alignment horizontal="left" vertical="center" wrapText="1"/>
    </xf>
    <xf numFmtId="0" fontId="25" fillId="3" borderId="4" xfId="0" applyFont="1" applyFill="1" applyBorder="1" applyAlignment="1">
      <alignment horizontal="left" vertical="top" wrapText="1"/>
    </xf>
    <xf numFmtId="1" fontId="13" fillId="17" borderId="0" xfId="0" applyNumberFormat="1" applyFont="1" applyFill="1" applyAlignment="1">
      <alignment horizontal="center" vertical="center" wrapText="1"/>
    </xf>
    <xf numFmtId="1" fontId="17" fillId="18" borderId="0" xfId="0" applyNumberFormat="1" applyFont="1" applyFill="1" applyAlignment="1">
      <alignment horizontal="center" vertical="center" wrapText="1"/>
    </xf>
    <xf numFmtId="1" fontId="13" fillId="19" borderId="0" xfId="0" applyNumberFormat="1" applyFont="1" applyFill="1" applyAlignment="1">
      <alignment horizontal="center" vertical="center" wrapText="1"/>
    </xf>
    <xf numFmtId="0" fontId="11" fillId="4" borderId="0" xfId="0" applyFont="1" applyFill="1" applyAlignment="1">
      <alignment horizontal="center" wrapText="1"/>
    </xf>
    <xf numFmtId="0" fontId="10" fillId="4" borderId="0" xfId="0" applyFont="1" applyFill="1" applyAlignment="1">
      <alignment horizontal="center" wrapText="1"/>
    </xf>
    <xf numFmtId="1" fontId="14" fillId="11" borderId="0" xfId="0" applyNumberFormat="1" applyFont="1" applyFill="1" applyAlignment="1">
      <alignment horizontal="center" vertical="center" wrapText="1"/>
    </xf>
    <xf numFmtId="1" fontId="14" fillId="16" borderId="0" xfId="0" applyNumberFormat="1" applyFont="1" applyFill="1" applyAlignment="1">
      <alignment horizontal="center" vertical="center"/>
    </xf>
    <xf numFmtId="1" fontId="14" fillId="13" borderId="0" xfId="0" applyNumberFormat="1" applyFont="1" applyFill="1" applyAlignment="1">
      <alignment horizontal="center" vertical="center"/>
    </xf>
    <xf numFmtId="0" fontId="2" fillId="0" borderId="0" xfId="0" applyFont="1" applyAlignment="1">
      <alignment horizontal="center" vertical="center" wrapText="1"/>
    </xf>
    <xf numFmtId="0" fontId="0" fillId="0" borderId="0" xfId="0" applyAlignment="1">
      <alignment wrapText="1"/>
    </xf>
  </cellXfs>
  <cellStyles count="2">
    <cellStyle name="Normal" xfId="0" builtinId="0"/>
    <cellStyle name="Normal 2" xfId="1" xr:uid="{00000000-0005-0000-0000-000001000000}"/>
  </cellStyles>
  <dxfs count="75">
    <dxf>
      <font>
        <b/>
        <i val="0"/>
        <strike val="0"/>
        <condense val="0"/>
        <extend val="0"/>
        <outline val="0"/>
        <shadow val="0"/>
        <u val="none"/>
        <vertAlign val="baseline"/>
        <sz val="11"/>
        <color rgb="FFFFFFFF"/>
        <name val="Aptos Display"/>
        <family val="2"/>
        <scheme val="major"/>
      </font>
      <numFmt numFmtId="1" formatCode="0"/>
      <fill>
        <patternFill patternType="solid">
          <fgColor indexed="64"/>
          <bgColor theme="7"/>
        </patternFill>
      </fill>
      <alignment horizontal="center" vertical="center" textRotation="0" wrapText="1" indent="0" justifyLastLine="0" shrinkToFit="0" readingOrder="0"/>
    </dxf>
    <dxf>
      <numFmt numFmtId="1" formatCode="0"/>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none"/>
      </font>
      <numFmt numFmtId="1" formatCode="0"/>
      <alignment horizontal="center" vertical="center" textRotation="0" wrapText="0" indent="0" justifyLastLine="0" shrinkToFit="0" readingOrder="0"/>
    </dxf>
    <dxf>
      <numFmt numFmtId="1" formatCode="0"/>
      <alignment horizontal="center" vertical="center" textRotation="0" wrapText="1" indent="0" justifyLastLine="0" shrinkToFit="0" readingOrder="0"/>
    </dxf>
    <dxf>
      <font>
        <b val="0"/>
        <i val="0"/>
        <strike val="0"/>
        <condense val="0"/>
        <extend val="0"/>
        <outline val="0"/>
        <shadow val="0"/>
        <u val="none"/>
        <vertAlign val="baseline"/>
        <sz val="11"/>
        <color auto="1"/>
        <name val="Calibri"/>
        <family val="2"/>
        <scheme val="none"/>
      </font>
      <numFmt numFmtId="1" formatCode="0"/>
      <alignment horizontal="center" vertical="center" textRotation="0" wrapText="0" indent="0" justifyLastLine="0" shrinkToFit="0" readingOrder="0"/>
    </dxf>
    <dxf>
      <numFmt numFmtId="1" formatCode="0"/>
      <alignment horizontal="center" vertical="center" textRotation="0" wrapText="0" indent="0" justifyLastLine="0" shrinkToFit="0" readingOrder="0"/>
    </dxf>
    <dxf>
      <numFmt numFmtId="1" formatCode="0"/>
      <alignment horizontal="center" vertical="center" textRotation="0" wrapText="0" indent="0" justifyLastLine="0" shrinkToFit="0" readingOrder="0"/>
    </dxf>
    <dxf>
      <numFmt numFmtId="1" formatCode="0"/>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none"/>
      </font>
      <alignment horizontal="center" vertical="center" textRotation="0" wrapText="0" indent="0" justifyLastLine="0" shrinkToFit="0" readingOrder="0"/>
    </dxf>
    <dxf>
      <font>
        <b/>
        <i val="0"/>
        <strike val="0"/>
        <condense val="0"/>
        <extend val="0"/>
        <outline val="0"/>
        <shadow val="0"/>
        <u val="none"/>
        <vertAlign val="baseline"/>
        <sz val="12"/>
        <color theme="0"/>
        <name val="Aptos Display"/>
        <family val="2"/>
        <scheme val="major"/>
      </font>
      <numFmt numFmtId="1" formatCode="0"/>
      <fill>
        <patternFill patternType="solid">
          <fgColor indexed="64"/>
          <bgColor theme="4"/>
        </patternFill>
      </fill>
      <alignment horizontal="center" vertical="center" textRotation="0" wrapText="1" indent="0" justifyLastLine="0" shrinkToFit="0" readingOrder="0"/>
    </dxf>
    <dxf>
      <alignment horizontal="center" vertical="center" textRotation="0" wrapText="1" indent="0" justifyLastLine="0" shrinkToFit="0" readingOrder="0"/>
    </dxf>
    <dxf>
      <font>
        <b val="0"/>
        <i val="0"/>
        <strike val="0"/>
        <condense val="0"/>
        <extend val="0"/>
        <outline val="0"/>
        <shadow val="0"/>
        <u val="none"/>
        <vertAlign val="baseline"/>
        <sz val="11"/>
        <color auto="1"/>
        <name val="Calibri"/>
        <family val="2"/>
        <scheme val="none"/>
      </font>
      <alignment horizontal="left"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border diagonalUp="0" diagonalDown="0">
        <left style="thin">
          <color theme="7"/>
        </left>
        <right/>
        <top/>
        <bottom/>
        <vertical/>
        <horizontal/>
      </border>
    </dxf>
    <dxf>
      <font>
        <b val="0"/>
        <i val="0"/>
        <strike val="0"/>
        <condense val="0"/>
        <extend val="0"/>
        <outline val="0"/>
        <shadow val="0"/>
        <u val="none"/>
        <vertAlign val="baseline"/>
        <sz val="11"/>
        <color theme="1"/>
        <name val="Calibri"/>
        <family val="2"/>
        <scheme val="none"/>
      </font>
      <numFmt numFmtId="1" formatCode="0"/>
      <alignment horizontal="left" vertical="center" textRotation="0" wrapText="1" indent="0" justifyLastLine="0" shrinkToFit="0" readingOrder="0"/>
      <border diagonalUp="0" diagonalDown="0">
        <left style="thin">
          <color theme="7"/>
        </left>
        <right style="thin">
          <color theme="7"/>
        </right>
        <top style="thin">
          <color theme="7"/>
        </top>
        <bottom/>
        <vertical/>
        <horizontal/>
      </border>
    </dxf>
    <dxf>
      <font>
        <b/>
        <i val="0"/>
        <strike val="0"/>
        <condense val="0"/>
        <extend val="0"/>
        <outline val="0"/>
        <shadow val="0"/>
        <u val="none"/>
        <vertAlign val="baseline"/>
        <sz val="12"/>
        <color theme="0"/>
        <name val="Aptos Display"/>
        <family val="2"/>
        <scheme val="major"/>
      </font>
      <numFmt numFmtId="1" formatCode="0"/>
      <fill>
        <patternFill patternType="solid">
          <fgColor indexed="64"/>
          <bgColor theme="9"/>
        </patternFill>
      </fill>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general" vertical="bottom" textRotation="0" wrapText="1" indent="0" justifyLastLine="0" shrinkToFit="0" readingOrder="0"/>
    </dxf>
    <dxf>
      <font>
        <b/>
        <i val="0"/>
        <strike val="0"/>
        <condense val="0"/>
        <extend val="0"/>
        <outline val="0"/>
        <shadow val="0"/>
        <u val="none"/>
        <vertAlign val="baseline"/>
        <sz val="11"/>
        <color rgb="FFFFFFFF"/>
        <name val="Aptos Display"/>
        <family val="2"/>
        <scheme val="major"/>
      </font>
      <numFmt numFmtId="1" formatCode="0"/>
      <fill>
        <patternFill patternType="solid">
          <fgColor indexed="64"/>
          <bgColor theme="1" tint="0.34998626667073579"/>
        </patternFill>
      </fill>
      <alignment horizontal="center" vertical="center" textRotation="0" wrapText="1" indent="0" justifyLastLine="0" shrinkToFit="0" readingOrder="0"/>
    </dxf>
    <dxf>
      <alignment horizontal="general" vertical="bottom" textRotation="0" wrapText="1" indent="0" justifyLastLine="0" shrinkToFit="0" readingOrder="0"/>
    </dxf>
    <dxf>
      <numFmt numFmtId="1" formatCode="0"/>
      <alignment horizontal="center" vertical="bottom" textRotation="0" wrapText="0" indent="0" justifyLastLine="0" shrinkToFit="0" readingOrder="0"/>
    </dxf>
    <dxf>
      <numFmt numFmtId="1" formatCode="0"/>
      <alignment horizontal="center" vertical="center" textRotation="0" wrapText="0" indent="0" justifyLastLine="0" shrinkToFit="0" readingOrder="0"/>
    </dxf>
    <dxf>
      <numFmt numFmtId="1" formatCode="0"/>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alignment horizontal="center" vertical="center" textRotation="0" wrapText="0" indent="0" justifyLastLine="0" shrinkToFit="0" readingOrder="0"/>
    </dxf>
    <dxf>
      <alignment horizontal="general" vertical="bottom" textRotation="0" wrapText="1" indent="0" justifyLastLine="0" shrinkToFit="0" readingOrder="0"/>
    </dxf>
    <dxf>
      <font>
        <b/>
        <i val="0"/>
        <strike val="0"/>
        <condense val="0"/>
        <extend val="0"/>
        <outline val="0"/>
        <shadow val="0"/>
        <u val="none"/>
        <vertAlign val="baseline"/>
        <sz val="12"/>
        <color theme="0"/>
        <name val="Aptos Display"/>
        <family val="2"/>
        <scheme val="major"/>
      </font>
      <numFmt numFmtId="1" formatCode="0"/>
      <fill>
        <patternFill patternType="solid">
          <fgColor indexed="64"/>
          <bgColor theme="4"/>
        </patternFill>
      </fill>
      <alignment horizontal="center" vertical="center" textRotation="0" wrapText="1"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border diagonalUp="0" diagonalDown="0">
        <left style="thin">
          <color theme="7"/>
        </left>
        <right/>
        <top/>
        <bottom/>
        <vertical/>
        <horizontal/>
      </border>
    </dxf>
    <dxf>
      <fill>
        <patternFill>
          <bgColor rgb="FFFA7A06"/>
        </patternFill>
      </fill>
    </dxf>
    <dxf>
      <fill>
        <patternFill>
          <bgColor rgb="FFEE9432"/>
        </patternFill>
      </fill>
    </dxf>
    <dxf>
      <fill>
        <patternFill>
          <bgColor rgb="FF92D050"/>
        </patternFill>
      </fill>
    </dxf>
    <dxf>
      <fill>
        <patternFill>
          <bgColor rgb="FFFFA500"/>
        </patternFill>
      </fill>
    </dxf>
    <dxf>
      <fill>
        <patternFill>
          <bgColor rgb="FFFA7A06"/>
        </patternFill>
      </fill>
    </dxf>
    <dxf>
      <fill>
        <patternFill>
          <bgColor rgb="FFFBE757"/>
        </patternFill>
      </fill>
    </dxf>
    <dxf>
      <fill>
        <patternFill>
          <bgColor rgb="FFEE9432"/>
        </patternFill>
      </fill>
    </dxf>
    <dxf>
      <fill>
        <patternFill>
          <bgColor rgb="FFD87406"/>
        </patternFill>
      </fill>
    </dxf>
    <dxf>
      <font>
        <b val="0"/>
        <i val="0"/>
        <strike val="0"/>
        <condense val="0"/>
        <extend val="0"/>
        <outline val="0"/>
        <shadow val="0"/>
        <u val="none"/>
        <vertAlign val="baseline"/>
        <sz val="14"/>
        <color auto="1"/>
        <name val="Aptos Display"/>
        <family val="2"/>
        <scheme val="major"/>
      </font>
      <numFmt numFmtId="1" formatCode="0"/>
      <fill>
        <patternFill patternType="solid">
          <fgColor indexed="64"/>
          <bgColor theme="0" tint="-4.9989318521683403E-2"/>
        </patternFill>
      </fill>
      <alignment horizontal="left" vertical="center" textRotation="0" wrapText="0" indent="0" justifyLastLine="0" shrinkToFit="0" readingOrder="0"/>
    </dxf>
    <dxf>
      <font>
        <b val="0"/>
        <i val="0"/>
        <strike val="0"/>
        <condense val="0"/>
        <extend val="0"/>
        <outline val="0"/>
        <shadow val="0"/>
        <u val="none"/>
        <vertAlign val="baseline"/>
        <sz val="11"/>
        <color auto="1"/>
        <name val="Aptos Display"/>
        <family val="2"/>
        <scheme val="major"/>
      </font>
      <numFmt numFmtId="1" formatCode="0"/>
      <fill>
        <patternFill patternType="solid">
          <fgColor indexed="64"/>
          <bgColor theme="0" tint="-4.9989318521683403E-2"/>
        </patternFill>
      </fill>
      <alignment horizontal="center" vertical="center" textRotation="0" wrapText="0" indent="0" justifyLastLine="0" shrinkToFit="0" readingOrder="0"/>
    </dxf>
    <dxf>
      <font>
        <b/>
        <i val="0"/>
        <strike val="0"/>
        <condense val="0"/>
        <extend val="0"/>
        <outline val="0"/>
        <shadow val="0"/>
        <u val="none"/>
        <vertAlign val="baseline"/>
        <sz val="14"/>
        <color auto="1"/>
        <name val="Aptos Display"/>
        <family val="2"/>
        <scheme val="major"/>
      </font>
      <numFmt numFmtId="1" formatCode="0"/>
      <fill>
        <patternFill patternType="solid">
          <fgColor indexed="64"/>
          <bgColor theme="0" tint="-4.9989318521683403E-2"/>
        </patternFill>
      </fill>
      <alignment horizontal="left"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s>
  <tableStyles count="0" defaultTableStyle="TableStyleMedium2" defaultPivotStyle="PivotStyleLight16"/>
  <colors>
    <mruColors>
      <color rgb="FFA4262C"/>
      <color rgb="FF0078D4"/>
      <color rgb="FFEE9432"/>
      <color rgb="FF595959"/>
      <color rgb="FFFF657B"/>
      <color rgb="FFF38307"/>
      <color rgb="FF0F9ED5"/>
      <color rgb="FFECEBF9"/>
      <color rgb="FFDDDAEE"/>
      <color rgb="FFD8740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owerPivotData" Target="model/item.data"/><Relationship Id="rId18" Type="http://schemas.openxmlformats.org/officeDocument/2006/relationships/customXml" Target="../customXml/item4.xml"/><Relationship Id="rId26" Type="http://schemas.openxmlformats.org/officeDocument/2006/relationships/customXml" Target="../customXml/item12.xml"/><Relationship Id="rId21" Type="http://schemas.openxmlformats.org/officeDocument/2006/relationships/customXml" Target="../customXml/item7.xml"/><Relationship Id="rId34" Type="http://schemas.openxmlformats.org/officeDocument/2006/relationships/customXml" Target="../customXml/item20.xml"/><Relationship Id="rId7" Type="http://schemas.openxmlformats.org/officeDocument/2006/relationships/worksheet" Target="worksheets/sheet7.xml"/><Relationship Id="rId12" Type="http://schemas.openxmlformats.org/officeDocument/2006/relationships/sheetMetadata" Target="metadata.xml"/><Relationship Id="rId17" Type="http://schemas.openxmlformats.org/officeDocument/2006/relationships/customXml" Target="../customXml/item3.xml"/><Relationship Id="rId25" Type="http://schemas.openxmlformats.org/officeDocument/2006/relationships/customXml" Target="../customXml/item11.xml"/><Relationship Id="rId33" Type="http://schemas.openxmlformats.org/officeDocument/2006/relationships/customXml" Target="../customXml/item19.xml"/><Relationship Id="rId2" Type="http://schemas.openxmlformats.org/officeDocument/2006/relationships/worksheet" Target="worksheets/sheet2.xml"/><Relationship Id="rId16" Type="http://schemas.openxmlformats.org/officeDocument/2006/relationships/customXml" Target="../customXml/item2.xml"/><Relationship Id="rId20" Type="http://schemas.openxmlformats.org/officeDocument/2006/relationships/customXml" Target="../customXml/item6.xml"/><Relationship Id="rId29" Type="http://schemas.openxmlformats.org/officeDocument/2006/relationships/customXml" Target="../customXml/item1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24" Type="http://schemas.openxmlformats.org/officeDocument/2006/relationships/customXml" Target="../customXml/item10.xml"/><Relationship Id="rId32" Type="http://schemas.openxmlformats.org/officeDocument/2006/relationships/customXml" Target="../customXml/item18.xml"/><Relationship Id="rId37" Type="http://schemas.openxmlformats.org/officeDocument/2006/relationships/customXml" Target="../customXml/item23.xml"/><Relationship Id="rId5" Type="http://schemas.openxmlformats.org/officeDocument/2006/relationships/worksheet" Target="worksheets/sheet5.xml"/><Relationship Id="rId15" Type="http://schemas.openxmlformats.org/officeDocument/2006/relationships/customXml" Target="../customXml/item1.xml"/><Relationship Id="rId23" Type="http://schemas.openxmlformats.org/officeDocument/2006/relationships/customXml" Target="../customXml/item9.xml"/><Relationship Id="rId28" Type="http://schemas.openxmlformats.org/officeDocument/2006/relationships/customXml" Target="../customXml/item14.xml"/><Relationship Id="rId36" Type="http://schemas.openxmlformats.org/officeDocument/2006/relationships/customXml" Target="../customXml/item22.xml"/><Relationship Id="rId10" Type="http://schemas.openxmlformats.org/officeDocument/2006/relationships/styles" Target="styles.xml"/><Relationship Id="rId19" Type="http://schemas.openxmlformats.org/officeDocument/2006/relationships/customXml" Target="../customXml/item5.xml"/><Relationship Id="rId31" Type="http://schemas.openxmlformats.org/officeDocument/2006/relationships/customXml" Target="../customXml/item17.xml"/><Relationship Id="rId4" Type="http://schemas.openxmlformats.org/officeDocument/2006/relationships/worksheet" Target="worksheets/sheet4.xml"/><Relationship Id="rId9" Type="http://schemas.openxmlformats.org/officeDocument/2006/relationships/connections" Target="connections.xml"/><Relationship Id="rId14" Type="http://schemas.openxmlformats.org/officeDocument/2006/relationships/calcChain" Target="calcChain.xml"/><Relationship Id="rId22" Type="http://schemas.openxmlformats.org/officeDocument/2006/relationships/customXml" Target="../customXml/item8.xml"/><Relationship Id="rId27" Type="http://schemas.openxmlformats.org/officeDocument/2006/relationships/customXml" Target="../customXml/item13.xml"/><Relationship Id="rId30" Type="http://schemas.openxmlformats.org/officeDocument/2006/relationships/customXml" Target="../customXml/item16.xml"/><Relationship Id="rId35" Type="http://schemas.openxmlformats.org/officeDocument/2006/relationships/customXml" Target="../customXml/item21.xml"/><Relationship Id="rId8" Type="http://schemas.openxmlformats.org/officeDocument/2006/relationships/theme" Target="theme/theme1.xml"/><Relationship Id="rId3"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3" Type="http://schemas.openxmlformats.org/officeDocument/2006/relationships/hyperlink" Target="#'3.AnalysisPlanning'!A1"/><Relationship Id="rId7" Type="http://schemas.openxmlformats.org/officeDocument/2006/relationships/hyperlink" Target="#Introduction!A1"/><Relationship Id="rId2" Type="http://schemas.openxmlformats.org/officeDocument/2006/relationships/hyperlink" Target="#'2.WorkloadInventory'!A1"/><Relationship Id="rId1" Type="http://schemas.openxmlformats.org/officeDocument/2006/relationships/hyperlink" Target="#'1.WorkloadInformation'!A1"/><Relationship Id="rId6" Type="http://schemas.openxmlformats.org/officeDocument/2006/relationships/hyperlink" Target="#'6.SupportRequestsAnalysis'!A1"/><Relationship Id="rId5" Type="http://schemas.openxmlformats.org/officeDocument/2006/relationships/hyperlink" Target="#'5.PlatformIssuesAnalysis'!A1"/><Relationship Id="rId4" Type="http://schemas.openxmlformats.org/officeDocument/2006/relationships/hyperlink" Target="#'4.ImpactedResourcesAnalysis'!A1"/></Relationships>
</file>

<file path=xl/drawings/_rels/drawing2.xml.rels><?xml version="1.0" encoding="UTF-8" standalone="yes"?>
<Relationships xmlns="http://schemas.openxmlformats.org/package/2006/relationships"><Relationship Id="rId3" Type="http://schemas.openxmlformats.org/officeDocument/2006/relationships/hyperlink" Target="#'4.ImpactedResourcesAnalysis'!A1"/><Relationship Id="rId7" Type="http://schemas.openxmlformats.org/officeDocument/2006/relationships/hyperlink" Target="#'3.AnalysisPlanning'!A1"/><Relationship Id="rId2" Type="http://schemas.openxmlformats.org/officeDocument/2006/relationships/hyperlink" Target="#'2.WorkloadInventory'!A1"/><Relationship Id="rId1" Type="http://schemas.openxmlformats.org/officeDocument/2006/relationships/hyperlink" Target="#Introduction!A1"/><Relationship Id="rId6" Type="http://schemas.openxmlformats.org/officeDocument/2006/relationships/hyperlink" Target="#'1.WorkloadInformation'!A1"/><Relationship Id="rId5" Type="http://schemas.openxmlformats.org/officeDocument/2006/relationships/hyperlink" Target="#'6.SupportRequestsAnalysis'!A1"/><Relationship Id="rId4" Type="http://schemas.openxmlformats.org/officeDocument/2006/relationships/hyperlink" Target="#'5.PlatformIssuesAnalysis'!A1"/></Relationships>
</file>

<file path=xl/drawings/_rels/drawing3.xml.rels><?xml version="1.0" encoding="UTF-8" standalone="yes"?>
<Relationships xmlns="http://schemas.openxmlformats.org/package/2006/relationships"><Relationship Id="rId3" Type="http://schemas.openxmlformats.org/officeDocument/2006/relationships/hyperlink" Target="#'4.ImpactedResourcesAnalysis'!A1"/><Relationship Id="rId7" Type="http://schemas.openxmlformats.org/officeDocument/2006/relationships/hyperlink" Target="#'3.AnalysisPlanning'!A1"/><Relationship Id="rId2" Type="http://schemas.openxmlformats.org/officeDocument/2006/relationships/hyperlink" Target="#'2.WorkloadInventory'!A1"/><Relationship Id="rId1" Type="http://schemas.openxmlformats.org/officeDocument/2006/relationships/hyperlink" Target="#Introduction!A1"/><Relationship Id="rId6" Type="http://schemas.openxmlformats.org/officeDocument/2006/relationships/hyperlink" Target="#'1.WorkloadInformation'!A1"/><Relationship Id="rId5" Type="http://schemas.openxmlformats.org/officeDocument/2006/relationships/hyperlink" Target="#'6.SupportRequestsAnalysis'!A1"/><Relationship Id="rId4" Type="http://schemas.openxmlformats.org/officeDocument/2006/relationships/hyperlink" Target="#'5.PlatformIssuesAnalysis'!A1"/></Relationships>
</file>

<file path=xl/drawings/_rels/drawing4.xml.rels><?xml version="1.0" encoding="UTF-8" standalone="yes"?>
<Relationships xmlns="http://schemas.openxmlformats.org/package/2006/relationships"><Relationship Id="rId3" Type="http://schemas.openxmlformats.org/officeDocument/2006/relationships/hyperlink" Target="#'4.ImpactedResourcesAnalysis'!A1"/><Relationship Id="rId7" Type="http://schemas.openxmlformats.org/officeDocument/2006/relationships/hyperlink" Target="#'3.AnalysisPlanning'!A1"/><Relationship Id="rId2" Type="http://schemas.openxmlformats.org/officeDocument/2006/relationships/hyperlink" Target="#'2.WorkloadInventory'!A1"/><Relationship Id="rId1" Type="http://schemas.openxmlformats.org/officeDocument/2006/relationships/hyperlink" Target="#Introduction!A1"/><Relationship Id="rId6" Type="http://schemas.openxmlformats.org/officeDocument/2006/relationships/hyperlink" Target="#'1.WorkloadInformation'!A1"/><Relationship Id="rId5" Type="http://schemas.openxmlformats.org/officeDocument/2006/relationships/hyperlink" Target="#'6.SupportRequestsAnalysis'!A1"/><Relationship Id="rId4" Type="http://schemas.openxmlformats.org/officeDocument/2006/relationships/hyperlink" Target="#'5.PlatformIssuesAnalysis'!A1"/></Relationships>
</file>

<file path=xl/drawings/_rels/drawing5.xml.rels><?xml version="1.0" encoding="UTF-8" standalone="yes"?>
<Relationships xmlns="http://schemas.openxmlformats.org/package/2006/relationships"><Relationship Id="rId3" Type="http://schemas.openxmlformats.org/officeDocument/2006/relationships/hyperlink" Target="#'4.ImpactedResourcesAnalysis'!A1"/><Relationship Id="rId7" Type="http://schemas.openxmlformats.org/officeDocument/2006/relationships/hyperlink" Target="#'3.AnalysisPlanning'!A1"/><Relationship Id="rId2" Type="http://schemas.openxmlformats.org/officeDocument/2006/relationships/hyperlink" Target="#'2.WorkloadInventory'!A1"/><Relationship Id="rId1" Type="http://schemas.openxmlformats.org/officeDocument/2006/relationships/hyperlink" Target="#Introduction!A1"/><Relationship Id="rId6" Type="http://schemas.openxmlformats.org/officeDocument/2006/relationships/hyperlink" Target="#'1.WorkloadInformation'!A1"/><Relationship Id="rId5" Type="http://schemas.openxmlformats.org/officeDocument/2006/relationships/hyperlink" Target="#'6.SupportRequestsAnalysis'!A1"/><Relationship Id="rId4" Type="http://schemas.openxmlformats.org/officeDocument/2006/relationships/hyperlink" Target="#'5.PlatformIssuesAnalysis'!A1"/></Relationships>
</file>

<file path=xl/drawings/_rels/drawing6.xml.rels><?xml version="1.0" encoding="UTF-8" standalone="yes"?>
<Relationships xmlns="http://schemas.openxmlformats.org/package/2006/relationships"><Relationship Id="rId3" Type="http://schemas.openxmlformats.org/officeDocument/2006/relationships/hyperlink" Target="#'4.ImpactedResourcesAnalysis'!A1"/><Relationship Id="rId7" Type="http://schemas.openxmlformats.org/officeDocument/2006/relationships/hyperlink" Target="#'3.AnalysisPlanning'!A1"/><Relationship Id="rId2" Type="http://schemas.openxmlformats.org/officeDocument/2006/relationships/hyperlink" Target="#'2.WorkloadInventory'!A1"/><Relationship Id="rId1" Type="http://schemas.openxmlformats.org/officeDocument/2006/relationships/hyperlink" Target="#Introduction!A1"/><Relationship Id="rId6" Type="http://schemas.openxmlformats.org/officeDocument/2006/relationships/hyperlink" Target="#'1.WorkloadInformation'!A1"/><Relationship Id="rId5" Type="http://schemas.openxmlformats.org/officeDocument/2006/relationships/hyperlink" Target="#'6.SupportRequestsAnalysis'!A1"/><Relationship Id="rId4" Type="http://schemas.openxmlformats.org/officeDocument/2006/relationships/hyperlink" Target="#'5.PlatformIssuesAnalysis'!A1"/></Relationships>
</file>

<file path=xl/drawings/_rels/drawing7.xml.rels><?xml version="1.0" encoding="UTF-8" standalone="yes"?>
<Relationships xmlns="http://schemas.openxmlformats.org/package/2006/relationships"><Relationship Id="rId3" Type="http://schemas.openxmlformats.org/officeDocument/2006/relationships/hyperlink" Target="#'4.ImpactedResourcesAnalysis'!A1"/><Relationship Id="rId7" Type="http://schemas.openxmlformats.org/officeDocument/2006/relationships/hyperlink" Target="#'3.AnalysisPlanning'!A1"/><Relationship Id="rId2" Type="http://schemas.openxmlformats.org/officeDocument/2006/relationships/hyperlink" Target="#'2.WorkloadInventory'!A1"/><Relationship Id="rId1" Type="http://schemas.openxmlformats.org/officeDocument/2006/relationships/hyperlink" Target="#Introduction!A1"/><Relationship Id="rId6" Type="http://schemas.openxmlformats.org/officeDocument/2006/relationships/hyperlink" Target="#'1.WorkloadInformation'!A1"/><Relationship Id="rId5" Type="http://schemas.openxmlformats.org/officeDocument/2006/relationships/hyperlink" Target="#'6.SupportRequestsAnalysis'!A1"/><Relationship Id="rId4" Type="http://schemas.openxmlformats.org/officeDocument/2006/relationships/hyperlink" Target="#'5.PlatformIssuesAnalysis'!A1"/></Relationships>
</file>

<file path=xl/drawings/drawing1.xml><?xml version="1.0" encoding="utf-8"?>
<xdr:wsDr xmlns:xdr="http://schemas.openxmlformats.org/drawingml/2006/spreadsheetDrawing" xmlns:a="http://schemas.openxmlformats.org/drawingml/2006/main">
  <xdr:twoCellAnchor editAs="absolute">
    <xdr:from>
      <xdr:col>2</xdr:col>
      <xdr:colOff>0</xdr:colOff>
      <xdr:row>4</xdr:row>
      <xdr:rowOff>0</xdr:rowOff>
    </xdr:from>
    <xdr:to>
      <xdr:col>5</xdr:col>
      <xdr:colOff>9525</xdr:colOff>
      <xdr:row>8</xdr:row>
      <xdr:rowOff>104775</xdr:rowOff>
    </xdr:to>
    <xdr:sp macro="" textlink="">
      <xdr:nvSpPr>
        <xdr:cNvPr id="34" name="Title Box">
          <a:extLst>
            <a:ext uri="{FF2B5EF4-FFF2-40B4-BE49-F238E27FC236}">
              <a16:creationId xmlns:a16="http://schemas.microsoft.com/office/drawing/2014/main" id="{55F53A59-C31A-472C-866C-DF6EA5623FDC}"/>
            </a:ext>
          </a:extLst>
        </xdr:cNvPr>
        <xdr:cNvSpPr>
          <a:spLocks noChangeAspect="1"/>
        </xdr:cNvSpPr>
      </xdr:nvSpPr>
      <xdr:spPr>
        <a:xfrm>
          <a:off x="457739" y="732115"/>
          <a:ext cx="7755578" cy="839033"/>
        </a:xfrm>
        <a:prstGeom prst="roundRect">
          <a:avLst>
            <a:gd name="adj" fmla="val 3202"/>
          </a:avLst>
        </a:prstGeom>
        <a:solidFill>
          <a:schemeClr val="tx2">
            <a:lumMod val="75000"/>
            <a:lumOff val="25000"/>
            <a:alpha val="80000"/>
          </a:schemeClr>
        </a:solidFill>
        <a:ln>
          <a:noFill/>
        </a:ln>
        <a:effectLst>
          <a:outerShdw blurRad="38100" dist="12700" algn="l" rotWithShape="0">
            <a:schemeClr val="bg1">
              <a:alpha val="40000"/>
            </a:scheme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r>
            <a:rPr lang="en-US" sz="1800" b="1">
              <a:solidFill>
                <a:schemeClr val="bg1"/>
              </a:solidFill>
              <a:latin typeface="+mj-lt"/>
            </a:rPr>
            <a:t>Well-Architected</a:t>
          </a:r>
          <a:r>
            <a:rPr lang="en-US" sz="1800" b="1" baseline="0">
              <a:solidFill>
                <a:schemeClr val="bg1"/>
              </a:solidFill>
              <a:latin typeface="+mj-lt"/>
            </a:rPr>
            <a:t> Reliability Assessment</a:t>
          </a:r>
        </a:p>
        <a:p>
          <a:pPr algn="l"/>
          <a:r>
            <a:rPr lang="en-US" sz="1200" b="1" baseline="0">
              <a:solidFill>
                <a:schemeClr val="bg1"/>
              </a:solidFill>
              <a:latin typeface="+mj-lt"/>
            </a:rPr>
            <a:t>Expert Analysis</a:t>
          </a:r>
        </a:p>
        <a:p>
          <a:pPr marL="0" marR="0" lvl="0" indent="0" algn="l" defTabSz="914400" eaLnBrk="1" fontAlgn="auto" latinLnBrk="0" hangingPunct="1">
            <a:lnSpc>
              <a:spcPct val="100000"/>
            </a:lnSpc>
            <a:spcBef>
              <a:spcPts val="0"/>
            </a:spcBef>
            <a:spcAft>
              <a:spcPts val="0"/>
            </a:spcAft>
            <a:buClrTx/>
            <a:buSzTx/>
            <a:buFontTx/>
            <a:buNone/>
            <a:tabLst/>
            <a:defRPr/>
          </a:pPr>
          <a:r>
            <a:rPr lang="en-US" sz="1100" b="0">
              <a:solidFill>
                <a:schemeClr val="bg1"/>
              </a:solidFill>
              <a:effectLst/>
              <a:latin typeface="+mn-lt"/>
              <a:ea typeface="+mn-ea"/>
              <a:cs typeface="+mn-cs"/>
            </a:rPr>
            <a:t>Follow the steps below to analyze your resources, recommendations, platform</a:t>
          </a:r>
          <a:r>
            <a:rPr lang="en-US" sz="1100" b="0" baseline="0">
              <a:solidFill>
                <a:schemeClr val="bg1"/>
              </a:solidFill>
              <a:effectLst/>
              <a:latin typeface="+mn-lt"/>
              <a:ea typeface="+mn-ea"/>
              <a:cs typeface="+mn-cs"/>
            </a:rPr>
            <a:t> issues</a:t>
          </a:r>
          <a:r>
            <a:rPr lang="en-US" sz="1100" b="0">
              <a:solidFill>
                <a:schemeClr val="bg1"/>
              </a:solidFill>
              <a:effectLst/>
              <a:latin typeface="+mn-lt"/>
              <a:ea typeface="+mn-ea"/>
              <a:cs typeface="+mn-cs"/>
            </a:rPr>
            <a:t>, and more.</a:t>
          </a:r>
          <a:endParaRPr lang="en-US" sz="1200" b="1">
            <a:solidFill>
              <a:schemeClr val="bg1"/>
            </a:solidFill>
            <a:latin typeface="+mj-lt"/>
          </a:endParaRPr>
        </a:p>
      </xdr:txBody>
    </xdr:sp>
    <xdr:clientData/>
  </xdr:twoCellAnchor>
  <xdr:twoCellAnchor>
    <xdr:from>
      <xdr:col>2</xdr:col>
      <xdr:colOff>7572</xdr:colOff>
      <xdr:row>8</xdr:row>
      <xdr:rowOff>185459</xdr:rowOff>
    </xdr:from>
    <xdr:to>
      <xdr:col>3</xdr:col>
      <xdr:colOff>2607870</xdr:colOff>
      <xdr:row>15</xdr:row>
      <xdr:rowOff>5945</xdr:rowOff>
    </xdr:to>
    <xdr:sp macro="" textlink="">
      <xdr:nvSpPr>
        <xdr:cNvPr id="5" name="Rectangle 4">
          <a:extLst>
            <a:ext uri="{FF2B5EF4-FFF2-40B4-BE49-F238E27FC236}">
              <a16:creationId xmlns:a16="http://schemas.microsoft.com/office/drawing/2014/main" id="{96E1A834-D45E-0441-AE11-65388103E4E7}"/>
            </a:ext>
          </a:extLst>
        </xdr:cNvPr>
        <xdr:cNvSpPr/>
      </xdr:nvSpPr>
      <xdr:spPr>
        <a:xfrm rot="10800000">
          <a:off x="484650" y="1113111"/>
          <a:ext cx="2938229" cy="8679564"/>
        </a:xfrm>
        <a:prstGeom prst="rect">
          <a:avLst/>
        </a:prstGeom>
        <a:gradFill flip="none" rotWithShape="1">
          <a:gsLst>
            <a:gs pos="100000">
              <a:schemeClr val="bg1">
                <a:alpha val="18000"/>
              </a:schemeClr>
            </a:gs>
            <a:gs pos="0">
              <a:schemeClr val="tx1">
                <a:lumMod val="65000"/>
                <a:lumOff val="35000"/>
                <a:alpha val="49000"/>
              </a:schemeClr>
            </a:gs>
            <a:gs pos="14000">
              <a:schemeClr val="tx1">
                <a:lumMod val="65000"/>
                <a:lumOff val="35000"/>
                <a:alpha val="25000"/>
              </a:schemeClr>
            </a:gs>
            <a:gs pos="69000">
              <a:schemeClr val="tx1">
                <a:lumMod val="65000"/>
                <a:lumOff val="35000"/>
                <a:alpha val="0"/>
              </a:schemeClr>
            </a:gs>
          </a:gsLst>
          <a:lin ang="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2</xdr:col>
      <xdr:colOff>288679</xdr:colOff>
      <xdr:row>8</xdr:row>
      <xdr:rowOff>182665</xdr:rowOff>
    </xdr:from>
    <xdr:to>
      <xdr:col>4</xdr:col>
      <xdr:colOff>1062</xdr:colOff>
      <xdr:row>10</xdr:row>
      <xdr:rowOff>5673</xdr:rowOff>
    </xdr:to>
    <xdr:sp macro="" textlink="">
      <xdr:nvSpPr>
        <xdr:cNvPr id="12" name="Rectangle 11">
          <a:hlinkClick xmlns:r="http://schemas.openxmlformats.org/officeDocument/2006/relationships" r:id="rId1"/>
          <a:extLst>
            <a:ext uri="{FF2B5EF4-FFF2-40B4-BE49-F238E27FC236}">
              <a16:creationId xmlns:a16="http://schemas.microsoft.com/office/drawing/2014/main" id="{57F8844C-4092-8A95-8624-9CC0BA0C67A6}"/>
            </a:ext>
          </a:extLst>
        </xdr:cNvPr>
        <xdr:cNvSpPr/>
      </xdr:nvSpPr>
      <xdr:spPr>
        <a:xfrm rot="10800000">
          <a:off x="761119" y="1097065"/>
          <a:ext cx="2661323" cy="676448"/>
        </a:xfrm>
        <a:prstGeom prst="rect">
          <a:avLst/>
        </a:prstGeom>
        <a:solidFill>
          <a:schemeClr val="bg1">
            <a:alpha val="6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2</xdr:col>
      <xdr:colOff>297262</xdr:colOff>
      <xdr:row>10</xdr:row>
      <xdr:rowOff>1903</xdr:rowOff>
    </xdr:from>
    <xdr:to>
      <xdr:col>4</xdr:col>
      <xdr:colOff>9817</xdr:colOff>
      <xdr:row>11</xdr:row>
      <xdr:rowOff>8528</xdr:rowOff>
    </xdr:to>
    <xdr:sp macro="" textlink="">
      <xdr:nvSpPr>
        <xdr:cNvPr id="13" name="Rectangle 12">
          <a:hlinkClick xmlns:r="http://schemas.openxmlformats.org/officeDocument/2006/relationships" r:id="rId2"/>
          <a:extLst>
            <a:ext uri="{FF2B5EF4-FFF2-40B4-BE49-F238E27FC236}">
              <a16:creationId xmlns:a16="http://schemas.microsoft.com/office/drawing/2014/main" id="{68B061C1-7887-9ADB-BF88-9746FE1B41CD}"/>
            </a:ext>
          </a:extLst>
        </xdr:cNvPr>
        <xdr:cNvSpPr/>
      </xdr:nvSpPr>
      <xdr:spPr>
        <a:xfrm rot="10800000">
          <a:off x="769702" y="2318383"/>
          <a:ext cx="2661495" cy="1507765"/>
        </a:xfrm>
        <a:prstGeom prst="rect">
          <a:avLst/>
        </a:prstGeom>
        <a:solidFill>
          <a:schemeClr val="bg1">
            <a:alpha val="6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2</xdr:col>
      <xdr:colOff>282742</xdr:colOff>
      <xdr:row>11</xdr:row>
      <xdr:rowOff>5672</xdr:rowOff>
    </xdr:from>
    <xdr:to>
      <xdr:col>4</xdr:col>
      <xdr:colOff>7580</xdr:colOff>
      <xdr:row>11</xdr:row>
      <xdr:rowOff>1669773</xdr:rowOff>
    </xdr:to>
    <xdr:sp macro="" textlink="">
      <xdr:nvSpPr>
        <xdr:cNvPr id="15" name="Rectangle 14">
          <a:hlinkClick xmlns:r="http://schemas.openxmlformats.org/officeDocument/2006/relationships" r:id="rId3"/>
          <a:extLst>
            <a:ext uri="{FF2B5EF4-FFF2-40B4-BE49-F238E27FC236}">
              <a16:creationId xmlns:a16="http://schemas.microsoft.com/office/drawing/2014/main" id="{E019A3C7-A443-67D9-82F9-0C5EA6424B5D}"/>
            </a:ext>
          </a:extLst>
        </xdr:cNvPr>
        <xdr:cNvSpPr/>
      </xdr:nvSpPr>
      <xdr:spPr>
        <a:xfrm rot="10800000">
          <a:off x="759820" y="3451237"/>
          <a:ext cx="2673447" cy="1664101"/>
        </a:xfrm>
        <a:prstGeom prst="rect">
          <a:avLst/>
        </a:prstGeom>
        <a:solidFill>
          <a:schemeClr val="bg1">
            <a:alpha val="6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2</xdr:col>
      <xdr:colOff>292483</xdr:colOff>
      <xdr:row>12</xdr:row>
      <xdr:rowOff>0</xdr:rowOff>
    </xdr:from>
    <xdr:to>
      <xdr:col>4</xdr:col>
      <xdr:colOff>8448</xdr:colOff>
      <xdr:row>12</xdr:row>
      <xdr:rowOff>1828800</xdr:rowOff>
    </xdr:to>
    <xdr:sp macro="" textlink="">
      <xdr:nvSpPr>
        <xdr:cNvPr id="16" name="Rectangle 15">
          <a:hlinkClick xmlns:r="http://schemas.openxmlformats.org/officeDocument/2006/relationships" r:id="rId4"/>
          <a:extLst>
            <a:ext uri="{FF2B5EF4-FFF2-40B4-BE49-F238E27FC236}">
              <a16:creationId xmlns:a16="http://schemas.microsoft.com/office/drawing/2014/main" id="{B51384A6-591F-EF6F-9ED2-5504377664F4}"/>
            </a:ext>
          </a:extLst>
        </xdr:cNvPr>
        <xdr:cNvSpPr/>
      </xdr:nvSpPr>
      <xdr:spPr>
        <a:xfrm rot="10800000">
          <a:off x="769561" y="5115339"/>
          <a:ext cx="2664574" cy="1828800"/>
        </a:xfrm>
        <a:prstGeom prst="rect">
          <a:avLst/>
        </a:prstGeom>
        <a:solidFill>
          <a:schemeClr val="bg1">
            <a:alpha val="6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2</xdr:col>
      <xdr:colOff>283690</xdr:colOff>
      <xdr:row>13</xdr:row>
      <xdr:rowOff>8530</xdr:rowOff>
    </xdr:from>
    <xdr:to>
      <xdr:col>4</xdr:col>
      <xdr:colOff>5671</xdr:colOff>
      <xdr:row>13</xdr:row>
      <xdr:rowOff>1828800</xdr:rowOff>
    </xdr:to>
    <xdr:sp macro="" textlink="">
      <xdr:nvSpPr>
        <xdr:cNvPr id="17" name="Rectangle 16">
          <a:hlinkClick xmlns:r="http://schemas.openxmlformats.org/officeDocument/2006/relationships" r:id="rId5"/>
          <a:extLst>
            <a:ext uri="{FF2B5EF4-FFF2-40B4-BE49-F238E27FC236}">
              <a16:creationId xmlns:a16="http://schemas.microsoft.com/office/drawing/2014/main" id="{4303C44D-5B9A-F63E-D7B5-0FBC9910E25B}"/>
            </a:ext>
          </a:extLst>
        </xdr:cNvPr>
        <xdr:cNvSpPr/>
      </xdr:nvSpPr>
      <xdr:spPr>
        <a:xfrm rot="10800000">
          <a:off x="760768" y="6959295"/>
          <a:ext cx="2670590" cy="1820270"/>
        </a:xfrm>
        <a:prstGeom prst="rect">
          <a:avLst/>
        </a:prstGeom>
        <a:solidFill>
          <a:schemeClr val="bg1">
            <a:alpha val="6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2</xdr:col>
      <xdr:colOff>283709</xdr:colOff>
      <xdr:row>14</xdr:row>
      <xdr:rowOff>7578</xdr:rowOff>
    </xdr:from>
    <xdr:to>
      <xdr:col>4</xdr:col>
      <xdr:colOff>7576</xdr:colOff>
      <xdr:row>15</xdr:row>
      <xdr:rowOff>8531</xdr:rowOff>
    </xdr:to>
    <xdr:sp macro="" textlink="">
      <xdr:nvSpPr>
        <xdr:cNvPr id="18" name="Rectangle 17">
          <a:hlinkClick xmlns:r="http://schemas.openxmlformats.org/officeDocument/2006/relationships" r:id="rId6"/>
          <a:extLst>
            <a:ext uri="{FF2B5EF4-FFF2-40B4-BE49-F238E27FC236}">
              <a16:creationId xmlns:a16="http://schemas.microsoft.com/office/drawing/2014/main" id="{9ED7ED42-E432-DC56-3611-DB738926DDA3}"/>
            </a:ext>
          </a:extLst>
        </xdr:cNvPr>
        <xdr:cNvSpPr/>
      </xdr:nvSpPr>
      <xdr:spPr>
        <a:xfrm rot="10800000">
          <a:off x="760787" y="8124535"/>
          <a:ext cx="2672476" cy="1670726"/>
        </a:xfrm>
        <a:prstGeom prst="rect">
          <a:avLst/>
        </a:prstGeom>
        <a:solidFill>
          <a:schemeClr val="bg1">
            <a:alpha val="6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editAs="absolute">
    <xdr:from>
      <xdr:col>0</xdr:col>
      <xdr:colOff>0</xdr:colOff>
      <xdr:row>0</xdr:row>
      <xdr:rowOff>0</xdr:rowOff>
    </xdr:from>
    <xdr:to>
      <xdr:col>8</xdr:col>
      <xdr:colOff>295275</xdr:colOff>
      <xdr:row>2</xdr:row>
      <xdr:rowOff>104775</xdr:rowOff>
    </xdr:to>
    <xdr:grpSp>
      <xdr:nvGrpSpPr>
        <xdr:cNvPr id="20" name="Group 19">
          <a:extLst>
            <a:ext uri="{FF2B5EF4-FFF2-40B4-BE49-F238E27FC236}">
              <a16:creationId xmlns:a16="http://schemas.microsoft.com/office/drawing/2014/main" id="{3899CFDF-22DC-425C-98E9-8FC4E1BE24A2}"/>
            </a:ext>
          </a:extLst>
        </xdr:cNvPr>
        <xdr:cNvGrpSpPr/>
      </xdr:nvGrpSpPr>
      <xdr:grpSpPr>
        <a:xfrm>
          <a:off x="0" y="0"/>
          <a:ext cx="11807825" cy="463550"/>
          <a:chOff x="0" y="0"/>
          <a:chExt cx="12070080" cy="459104"/>
        </a:xfrm>
      </xdr:grpSpPr>
      <xdr:sp macro="" textlink="">
        <xdr:nvSpPr>
          <xdr:cNvPr id="21" name="Rectangle 20">
            <a:extLst>
              <a:ext uri="{FF2B5EF4-FFF2-40B4-BE49-F238E27FC236}">
                <a16:creationId xmlns:a16="http://schemas.microsoft.com/office/drawing/2014/main" id="{220C6F8C-4BE6-BCC0-F450-9C9D97F3A69A}"/>
              </a:ext>
            </a:extLst>
          </xdr:cNvPr>
          <xdr:cNvSpPr/>
        </xdr:nvSpPr>
        <xdr:spPr>
          <a:xfrm>
            <a:off x="0" y="0"/>
            <a:ext cx="12070080" cy="459104"/>
          </a:xfrm>
          <a:prstGeom prst="rect">
            <a:avLst/>
          </a:prstGeom>
          <a:solidFill>
            <a:schemeClr val="tx1">
              <a:lumMod val="75000"/>
              <a:lumOff val="2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sp macro="" textlink="">
        <xdr:nvSpPr>
          <xdr:cNvPr id="22" name="Rectangle: Rounded Corners 21">
            <a:hlinkClick xmlns:r="http://schemas.openxmlformats.org/officeDocument/2006/relationships" r:id="rId7"/>
            <a:extLst>
              <a:ext uri="{FF2B5EF4-FFF2-40B4-BE49-F238E27FC236}">
                <a16:creationId xmlns:a16="http://schemas.microsoft.com/office/drawing/2014/main" id="{8CA39890-6387-4B31-205A-559D480D39F8}"/>
              </a:ext>
            </a:extLst>
          </xdr:cNvPr>
          <xdr:cNvSpPr>
            <a:spLocks/>
          </xdr:cNvSpPr>
        </xdr:nvSpPr>
        <xdr:spPr>
          <a:xfrm>
            <a:off x="0" y="78113"/>
            <a:ext cx="1357213" cy="279895"/>
          </a:xfrm>
          <a:prstGeom prst="roundRect">
            <a:avLst/>
          </a:prstGeom>
          <a:solidFill>
            <a:schemeClr val="tx1">
              <a:lumMod val="75000"/>
              <a:lumOff val="25000"/>
            </a:schemeClr>
          </a:solidFill>
          <a:ln>
            <a:noFill/>
          </a:ln>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400" b="1">
                <a:solidFill>
                  <a:schemeClr val="bg1"/>
                </a:solidFill>
                <a:latin typeface="+mn-lt"/>
              </a:rPr>
              <a:t>Introduction</a:t>
            </a:r>
          </a:p>
        </xdr:txBody>
      </xdr:sp>
      <xdr:sp macro="" textlink="">
        <xdr:nvSpPr>
          <xdr:cNvPr id="23" name="Rectangle: Rounded Corners 22">
            <a:hlinkClick xmlns:r="http://schemas.openxmlformats.org/officeDocument/2006/relationships" r:id="rId2"/>
            <a:extLst>
              <a:ext uri="{FF2B5EF4-FFF2-40B4-BE49-F238E27FC236}">
                <a16:creationId xmlns:a16="http://schemas.microsoft.com/office/drawing/2014/main" id="{6C6D7893-03C6-C9BA-3D24-E47A0A9D6D16}"/>
              </a:ext>
            </a:extLst>
          </xdr:cNvPr>
          <xdr:cNvSpPr>
            <a:spLocks/>
          </xdr:cNvSpPr>
        </xdr:nvSpPr>
        <xdr:spPr>
          <a:xfrm>
            <a:off x="3262077" y="85705"/>
            <a:ext cx="1587385" cy="272219"/>
          </a:xfrm>
          <a:prstGeom prst="roundRect">
            <a:avLst/>
          </a:prstGeom>
          <a:solidFill>
            <a:schemeClr val="tx1">
              <a:lumMod val="75000"/>
              <a:lumOff val="25000"/>
            </a:schemeClr>
          </a:solidFill>
          <a:ln>
            <a:noFill/>
          </a:ln>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400" b="1">
                <a:solidFill>
                  <a:schemeClr val="bg1"/>
                </a:solidFill>
                <a:latin typeface="+mn-lt"/>
                <a:ea typeface="+mn-ea"/>
                <a:cs typeface="+mn-cs"/>
              </a:rPr>
              <a:t>Inventory</a:t>
            </a:r>
          </a:p>
        </xdr:txBody>
      </xdr:sp>
      <xdr:sp macro="" textlink="">
        <xdr:nvSpPr>
          <xdr:cNvPr id="24" name="Rectangle: Rounded Corners 23">
            <a:hlinkClick xmlns:r="http://schemas.openxmlformats.org/officeDocument/2006/relationships" r:id="rId4"/>
            <a:extLst>
              <a:ext uri="{FF2B5EF4-FFF2-40B4-BE49-F238E27FC236}">
                <a16:creationId xmlns:a16="http://schemas.microsoft.com/office/drawing/2014/main" id="{02092CA3-8E6E-32A0-4F3D-CAE8550F6C3A}"/>
              </a:ext>
            </a:extLst>
          </xdr:cNvPr>
          <xdr:cNvSpPr>
            <a:spLocks/>
          </xdr:cNvSpPr>
        </xdr:nvSpPr>
        <xdr:spPr>
          <a:xfrm>
            <a:off x="6619396" y="83800"/>
            <a:ext cx="2087412" cy="275155"/>
          </a:xfrm>
          <a:prstGeom prst="roundRect">
            <a:avLst/>
          </a:prstGeom>
          <a:solidFill>
            <a:schemeClr val="tx1">
              <a:lumMod val="75000"/>
              <a:lumOff val="25000"/>
            </a:schemeClr>
          </a:solidFill>
          <a:ln>
            <a:noFill/>
          </a:ln>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400" b="1">
                <a:solidFill>
                  <a:schemeClr val="bg1"/>
                </a:solidFill>
                <a:latin typeface="+mn-lt"/>
              </a:rPr>
              <a:t>Impacted Resources</a:t>
            </a:r>
          </a:p>
        </xdr:txBody>
      </xdr:sp>
      <xdr:sp macro="" textlink="">
        <xdr:nvSpPr>
          <xdr:cNvPr id="25" name="Rectangle: Rounded Corners 24">
            <a:hlinkClick xmlns:r="http://schemas.openxmlformats.org/officeDocument/2006/relationships" r:id="rId5"/>
            <a:extLst>
              <a:ext uri="{FF2B5EF4-FFF2-40B4-BE49-F238E27FC236}">
                <a16:creationId xmlns:a16="http://schemas.microsoft.com/office/drawing/2014/main" id="{AD9C7A05-493A-F6BB-15AF-DC07641FD4A8}"/>
              </a:ext>
            </a:extLst>
          </xdr:cNvPr>
          <xdr:cNvSpPr>
            <a:spLocks/>
          </xdr:cNvSpPr>
        </xdr:nvSpPr>
        <xdr:spPr>
          <a:xfrm>
            <a:off x="8524258" y="85705"/>
            <a:ext cx="1595321" cy="273164"/>
          </a:xfrm>
          <a:prstGeom prst="roundRect">
            <a:avLst/>
          </a:prstGeom>
          <a:solidFill>
            <a:schemeClr val="tx1">
              <a:lumMod val="75000"/>
              <a:lumOff val="25000"/>
            </a:schemeClr>
          </a:solidFill>
          <a:ln>
            <a:noFill/>
          </a:ln>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400" b="1">
                <a:solidFill>
                  <a:schemeClr val="bg1"/>
                </a:solidFill>
                <a:latin typeface="+mn-lt"/>
              </a:rPr>
              <a:t>Platform Issues</a:t>
            </a:r>
          </a:p>
        </xdr:txBody>
      </xdr:sp>
      <xdr:sp macro="" textlink="">
        <xdr:nvSpPr>
          <xdr:cNvPr id="26" name="Rectangle: Rounded Corners 25">
            <a:hlinkClick xmlns:r="http://schemas.openxmlformats.org/officeDocument/2006/relationships" r:id="rId6"/>
            <a:extLst>
              <a:ext uri="{FF2B5EF4-FFF2-40B4-BE49-F238E27FC236}">
                <a16:creationId xmlns:a16="http://schemas.microsoft.com/office/drawing/2014/main" id="{12ED60AA-AB17-7AC0-5FD4-A4DE1BFEDE4E}"/>
              </a:ext>
            </a:extLst>
          </xdr:cNvPr>
          <xdr:cNvSpPr>
            <a:spLocks/>
          </xdr:cNvSpPr>
        </xdr:nvSpPr>
        <xdr:spPr>
          <a:xfrm>
            <a:off x="10024337" y="82848"/>
            <a:ext cx="1754061" cy="273241"/>
          </a:xfrm>
          <a:prstGeom prst="roundRect">
            <a:avLst/>
          </a:prstGeom>
          <a:solidFill>
            <a:schemeClr val="tx1">
              <a:lumMod val="75000"/>
              <a:lumOff val="25000"/>
            </a:schemeClr>
          </a:solidFill>
          <a:ln>
            <a:noFill/>
          </a:ln>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400" b="1">
                <a:solidFill>
                  <a:schemeClr val="bg1"/>
                </a:solidFill>
                <a:latin typeface="+mn-lt"/>
              </a:rPr>
              <a:t>Support Requests</a:t>
            </a:r>
          </a:p>
        </xdr:txBody>
      </xdr:sp>
      <xdr:sp macro="" textlink="">
        <xdr:nvSpPr>
          <xdr:cNvPr id="27" name="Rectangle: Rounded Corners 26">
            <a:hlinkClick xmlns:r="http://schemas.openxmlformats.org/officeDocument/2006/relationships" r:id="rId1"/>
            <a:extLst>
              <a:ext uri="{FF2B5EF4-FFF2-40B4-BE49-F238E27FC236}">
                <a16:creationId xmlns:a16="http://schemas.microsoft.com/office/drawing/2014/main" id="{FE610DF9-E567-40CE-EB3E-C16B3F0D6568}"/>
              </a:ext>
            </a:extLst>
          </xdr:cNvPr>
          <xdr:cNvSpPr>
            <a:spLocks/>
          </xdr:cNvSpPr>
        </xdr:nvSpPr>
        <xdr:spPr>
          <a:xfrm>
            <a:off x="1198476" y="77150"/>
            <a:ext cx="2031853" cy="288611"/>
          </a:xfrm>
          <a:prstGeom prst="roundRect">
            <a:avLst/>
          </a:prstGeom>
          <a:solidFill>
            <a:schemeClr val="tx1">
              <a:lumMod val="75000"/>
              <a:lumOff val="25000"/>
            </a:schemeClr>
          </a:solidFill>
          <a:ln>
            <a:noFill/>
          </a:ln>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400" b="1">
                <a:solidFill>
                  <a:schemeClr val="bg1"/>
                </a:solidFill>
                <a:latin typeface="+mn-lt"/>
              </a:rPr>
              <a:t>Workload Information</a:t>
            </a:r>
          </a:p>
        </xdr:txBody>
      </xdr:sp>
      <xdr:sp macro="" textlink="">
        <xdr:nvSpPr>
          <xdr:cNvPr id="28" name="Rectangle: Rounded Corners 27">
            <a:hlinkClick xmlns:r="http://schemas.openxmlformats.org/officeDocument/2006/relationships" r:id="rId3"/>
            <a:extLst>
              <a:ext uri="{FF2B5EF4-FFF2-40B4-BE49-F238E27FC236}">
                <a16:creationId xmlns:a16="http://schemas.microsoft.com/office/drawing/2014/main" id="{A60C5A0D-CD8B-AB63-BECC-969340FA295A}"/>
              </a:ext>
            </a:extLst>
          </xdr:cNvPr>
          <xdr:cNvSpPr>
            <a:spLocks/>
          </xdr:cNvSpPr>
        </xdr:nvSpPr>
        <xdr:spPr>
          <a:xfrm>
            <a:off x="4962020" y="83800"/>
            <a:ext cx="1796661" cy="273171"/>
          </a:xfrm>
          <a:prstGeom prst="roundRect">
            <a:avLst/>
          </a:prstGeom>
          <a:solidFill>
            <a:schemeClr val="tx1">
              <a:lumMod val="75000"/>
              <a:lumOff val="25000"/>
            </a:schemeClr>
          </a:solidFill>
          <a:ln>
            <a:noFill/>
          </a:ln>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400" b="1">
                <a:solidFill>
                  <a:schemeClr val="bg1"/>
                </a:solidFill>
                <a:latin typeface="+mn-lt"/>
              </a:rPr>
              <a:t>Analysis Planning</a:t>
            </a:r>
          </a:p>
        </xdr:txBody>
      </xdr:sp>
      <xdr:grpSp>
        <xdr:nvGrpSpPr>
          <xdr:cNvPr id="29" name="Group 28">
            <a:extLst>
              <a:ext uri="{FF2B5EF4-FFF2-40B4-BE49-F238E27FC236}">
                <a16:creationId xmlns:a16="http://schemas.microsoft.com/office/drawing/2014/main" id="{954A1501-40B2-2DBB-DF54-F2BA721DFEFE}"/>
              </a:ext>
            </a:extLst>
          </xdr:cNvPr>
          <xdr:cNvGrpSpPr/>
        </xdr:nvGrpSpPr>
        <xdr:grpSpPr>
          <a:xfrm>
            <a:off x="180973" y="358137"/>
            <a:ext cx="11395709" cy="46675"/>
            <a:chOff x="184785" y="222884"/>
            <a:chExt cx="11383327" cy="281938"/>
          </a:xfrm>
        </xdr:grpSpPr>
        <xdr:sp macro="" textlink="">
          <xdr:nvSpPr>
            <xdr:cNvPr id="30" name="Rectangle 29">
              <a:extLst>
                <a:ext uri="{FF2B5EF4-FFF2-40B4-BE49-F238E27FC236}">
                  <a16:creationId xmlns:a16="http://schemas.microsoft.com/office/drawing/2014/main" id="{C0EEDD7F-E3D2-FDB4-792F-D476E8D79AB0}"/>
                </a:ext>
              </a:extLst>
            </xdr:cNvPr>
            <xdr:cNvSpPr/>
          </xdr:nvSpPr>
          <xdr:spPr>
            <a:xfrm>
              <a:off x="184785" y="222884"/>
              <a:ext cx="979169" cy="280987"/>
            </a:xfrm>
            <a:prstGeom prst="rect">
              <a:avLst/>
            </a:prstGeom>
            <a:solidFill>
              <a:schemeClr val="bg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sp macro="" textlink="">
          <xdr:nvSpPr>
            <xdr:cNvPr id="31" name="Rectangle 30">
              <a:extLst>
                <a:ext uri="{FF2B5EF4-FFF2-40B4-BE49-F238E27FC236}">
                  <a16:creationId xmlns:a16="http://schemas.microsoft.com/office/drawing/2014/main" id="{E93707C4-9497-756E-A945-3D79E6E0E4BC}"/>
                </a:ext>
              </a:extLst>
            </xdr:cNvPr>
            <xdr:cNvSpPr/>
          </xdr:nvSpPr>
          <xdr:spPr>
            <a:xfrm>
              <a:off x="1364931" y="222884"/>
              <a:ext cx="1676400" cy="279081"/>
            </a:xfrm>
            <a:prstGeom prst="rect">
              <a:avLst/>
            </a:prstGeom>
            <a:solidFill>
              <a:schemeClr val="bg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sp macro="" textlink="">
          <xdr:nvSpPr>
            <xdr:cNvPr id="32" name="Rectangle 31">
              <a:extLst>
                <a:ext uri="{FF2B5EF4-FFF2-40B4-BE49-F238E27FC236}">
                  <a16:creationId xmlns:a16="http://schemas.microsoft.com/office/drawing/2014/main" id="{79D5B659-AEC0-8EE9-DC1A-F484D36F3CDA}"/>
                </a:ext>
              </a:extLst>
            </xdr:cNvPr>
            <xdr:cNvSpPr/>
          </xdr:nvSpPr>
          <xdr:spPr>
            <a:xfrm>
              <a:off x="3301363" y="222884"/>
              <a:ext cx="1520192" cy="281938"/>
            </a:xfrm>
            <a:prstGeom prst="rect">
              <a:avLst/>
            </a:prstGeom>
            <a:solidFill>
              <a:schemeClr val="bg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sp macro="" textlink="">
          <xdr:nvSpPr>
            <xdr:cNvPr id="33" name="Rectangle 32">
              <a:extLst>
                <a:ext uri="{FF2B5EF4-FFF2-40B4-BE49-F238E27FC236}">
                  <a16:creationId xmlns:a16="http://schemas.microsoft.com/office/drawing/2014/main" id="{592AFD1D-04AE-0EA1-6A91-869198F10BB1}"/>
                </a:ext>
              </a:extLst>
            </xdr:cNvPr>
            <xdr:cNvSpPr/>
          </xdr:nvSpPr>
          <xdr:spPr>
            <a:xfrm>
              <a:off x="5181598" y="222884"/>
              <a:ext cx="1362078" cy="280032"/>
            </a:xfrm>
            <a:prstGeom prst="rect">
              <a:avLst/>
            </a:prstGeom>
            <a:solidFill>
              <a:schemeClr val="bg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sp macro="" textlink="">
          <xdr:nvSpPr>
            <xdr:cNvPr id="35" name="Rectangle 34">
              <a:extLst>
                <a:ext uri="{FF2B5EF4-FFF2-40B4-BE49-F238E27FC236}">
                  <a16:creationId xmlns:a16="http://schemas.microsoft.com/office/drawing/2014/main" id="{2011E290-E4EF-4D73-B441-F913496DF3D0}"/>
                </a:ext>
              </a:extLst>
            </xdr:cNvPr>
            <xdr:cNvSpPr/>
          </xdr:nvSpPr>
          <xdr:spPr>
            <a:xfrm>
              <a:off x="6880858" y="222884"/>
              <a:ext cx="1562102" cy="278126"/>
            </a:xfrm>
            <a:prstGeom prst="rect">
              <a:avLst/>
            </a:prstGeom>
            <a:solidFill>
              <a:schemeClr val="bg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sp macro="" textlink="">
          <xdr:nvSpPr>
            <xdr:cNvPr id="36" name="Rectangle 35">
              <a:extLst>
                <a:ext uri="{FF2B5EF4-FFF2-40B4-BE49-F238E27FC236}">
                  <a16:creationId xmlns:a16="http://schemas.microsoft.com/office/drawing/2014/main" id="{EB2143BE-B104-CA20-BAEF-FD39CF0D04BC}"/>
                </a:ext>
              </a:extLst>
            </xdr:cNvPr>
            <xdr:cNvSpPr/>
          </xdr:nvSpPr>
          <xdr:spPr>
            <a:xfrm>
              <a:off x="8718230" y="222884"/>
              <a:ext cx="1189675" cy="280983"/>
            </a:xfrm>
            <a:prstGeom prst="rect">
              <a:avLst/>
            </a:prstGeom>
            <a:solidFill>
              <a:schemeClr val="bg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sp macro="" textlink="">
          <xdr:nvSpPr>
            <xdr:cNvPr id="37" name="Rectangle 36">
              <a:extLst>
                <a:ext uri="{FF2B5EF4-FFF2-40B4-BE49-F238E27FC236}">
                  <a16:creationId xmlns:a16="http://schemas.microsoft.com/office/drawing/2014/main" id="{10FB1E3C-2147-35E2-4F1A-CEB2CAA4702B}"/>
                </a:ext>
              </a:extLst>
            </xdr:cNvPr>
            <xdr:cNvSpPr/>
          </xdr:nvSpPr>
          <xdr:spPr>
            <a:xfrm>
              <a:off x="10210797" y="222884"/>
              <a:ext cx="1357315" cy="279077"/>
            </a:xfrm>
            <a:prstGeom prst="rect">
              <a:avLst/>
            </a:prstGeom>
            <a:solidFill>
              <a:schemeClr val="bg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grpSp>
    </xdr:grpSp>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8</xdr:col>
      <xdr:colOff>188595</xdr:colOff>
      <xdr:row>2</xdr:row>
      <xdr:rowOff>89535</xdr:rowOff>
    </xdr:to>
    <xdr:grpSp>
      <xdr:nvGrpSpPr>
        <xdr:cNvPr id="2" name="Group 1">
          <a:extLst>
            <a:ext uri="{FF2B5EF4-FFF2-40B4-BE49-F238E27FC236}">
              <a16:creationId xmlns:a16="http://schemas.microsoft.com/office/drawing/2014/main" id="{7B30CEAA-8E12-47F6-A5E5-398EB14AB5B6}"/>
            </a:ext>
          </a:extLst>
        </xdr:cNvPr>
        <xdr:cNvGrpSpPr/>
      </xdr:nvGrpSpPr>
      <xdr:grpSpPr>
        <a:xfrm>
          <a:off x="0" y="0"/>
          <a:ext cx="11790045" cy="448310"/>
          <a:chOff x="0" y="0"/>
          <a:chExt cx="12070080" cy="459104"/>
        </a:xfrm>
      </xdr:grpSpPr>
      <xdr:sp macro="" textlink="">
        <xdr:nvSpPr>
          <xdr:cNvPr id="3" name="Rectangle 2">
            <a:extLst>
              <a:ext uri="{FF2B5EF4-FFF2-40B4-BE49-F238E27FC236}">
                <a16:creationId xmlns:a16="http://schemas.microsoft.com/office/drawing/2014/main" id="{E5558AFC-455C-F873-830B-7CEA86DD9FF4}"/>
              </a:ext>
            </a:extLst>
          </xdr:cNvPr>
          <xdr:cNvSpPr/>
        </xdr:nvSpPr>
        <xdr:spPr>
          <a:xfrm>
            <a:off x="0" y="0"/>
            <a:ext cx="12070080" cy="459104"/>
          </a:xfrm>
          <a:prstGeom prst="rect">
            <a:avLst/>
          </a:prstGeom>
          <a:solidFill>
            <a:schemeClr val="tx1">
              <a:lumMod val="75000"/>
              <a:lumOff val="2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sp macro="" textlink="">
        <xdr:nvSpPr>
          <xdr:cNvPr id="4" name="Rectangle: Rounded Corners 3">
            <a:hlinkClick xmlns:r="http://schemas.openxmlformats.org/officeDocument/2006/relationships" r:id="rId1"/>
            <a:extLst>
              <a:ext uri="{FF2B5EF4-FFF2-40B4-BE49-F238E27FC236}">
                <a16:creationId xmlns:a16="http://schemas.microsoft.com/office/drawing/2014/main" id="{A8D65BD2-CBCB-109C-F3B5-3DD23F5BD64E}"/>
              </a:ext>
            </a:extLst>
          </xdr:cNvPr>
          <xdr:cNvSpPr>
            <a:spLocks/>
          </xdr:cNvSpPr>
        </xdr:nvSpPr>
        <xdr:spPr>
          <a:xfrm>
            <a:off x="0" y="78113"/>
            <a:ext cx="1357213" cy="279895"/>
          </a:xfrm>
          <a:prstGeom prst="roundRect">
            <a:avLst/>
          </a:prstGeom>
          <a:solidFill>
            <a:schemeClr val="tx1">
              <a:lumMod val="75000"/>
              <a:lumOff val="25000"/>
            </a:schemeClr>
          </a:solidFill>
          <a:ln>
            <a:noFill/>
          </a:ln>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400" b="1">
                <a:solidFill>
                  <a:schemeClr val="bg1"/>
                </a:solidFill>
                <a:latin typeface="+mn-lt"/>
              </a:rPr>
              <a:t>Introduction</a:t>
            </a:r>
          </a:p>
        </xdr:txBody>
      </xdr:sp>
      <xdr:sp macro="" textlink="">
        <xdr:nvSpPr>
          <xdr:cNvPr id="5" name="Rectangle: Rounded Corners 4">
            <a:hlinkClick xmlns:r="http://schemas.openxmlformats.org/officeDocument/2006/relationships" r:id="rId2"/>
            <a:extLst>
              <a:ext uri="{FF2B5EF4-FFF2-40B4-BE49-F238E27FC236}">
                <a16:creationId xmlns:a16="http://schemas.microsoft.com/office/drawing/2014/main" id="{B4D92565-2B7A-71AF-90B9-6A6A6DC941B1}"/>
              </a:ext>
            </a:extLst>
          </xdr:cNvPr>
          <xdr:cNvSpPr>
            <a:spLocks/>
          </xdr:cNvSpPr>
        </xdr:nvSpPr>
        <xdr:spPr>
          <a:xfrm>
            <a:off x="3262077" y="85705"/>
            <a:ext cx="1587385" cy="272219"/>
          </a:xfrm>
          <a:prstGeom prst="roundRect">
            <a:avLst/>
          </a:prstGeom>
          <a:solidFill>
            <a:schemeClr val="tx1">
              <a:lumMod val="75000"/>
              <a:lumOff val="25000"/>
            </a:schemeClr>
          </a:solidFill>
          <a:ln>
            <a:noFill/>
          </a:ln>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400" b="1">
                <a:solidFill>
                  <a:schemeClr val="bg1"/>
                </a:solidFill>
                <a:latin typeface="+mn-lt"/>
                <a:ea typeface="+mn-ea"/>
                <a:cs typeface="+mn-cs"/>
              </a:rPr>
              <a:t>Inventory</a:t>
            </a:r>
          </a:p>
        </xdr:txBody>
      </xdr:sp>
      <xdr:sp macro="" textlink="">
        <xdr:nvSpPr>
          <xdr:cNvPr id="6" name="Rectangle: Rounded Corners 5">
            <a:hlinkClick xmlns:r="http://schemas.openxmlformats.org/officeDocument/2006/relationships" r:id="rId3"/>
            <a:extLst>
              <a:ext uri="{FF2B5EF4-FFF2-40B4-BE49-F238E27FC236}">
                <a16:creationId xmlns:a16="http://schemas.microsoft.com/office/drawing/2014/main" id="{975B2F02-D51E-11C2-70AE-8208C84F43D0}"/>
              </a:ext>
            </a:extLst>
          </xdr:cNvPr>
          <xdr:cNvSpPr>
            <a:spLocks/>
          </xdr:cNvSpPr>
        </xdr:nvSpPr>
        <xdr:spPr>
          <a:xfrm>
            <a:off x="6619396" y="83800"/>
            <a:ext cx="2087412" cy="275155"/>
          </a:xfrm>
          <a:prstGeom prst="roundRect">
            <a:avLst/>
          </a:prstGeom>
          <a:solidFill>
            <a:schemeClr val="tx1">
              <a:lumMod val="75000"/>
              <a:lumOff val="25000"/>
            </a:schemeClr>
          </a:solidFill>
          <a:ln>
            <a:noFill/>
          </a:ln>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400" b="1">
                <a:solidFill>
                  <a:schemeClr val="bg1"/>
                </a:solidFill>
                <a:latin typeface="+mn-lt"/>
              </a:rPr>
              <a:t>Impacted Resources</a:t>
            </a:r>
          </a:p>
        </xdr:txBody>
      </xdr:sp>
      <xdr:sp macro="" textlink="">
        <xdr:nvSpPr>
          <xdr:cNvPr id="7" name="Rectangle: Rounded Corners 6">
            <a:hlinkClick xmlns:r="http://schemas.openxmlformats.org/officeDocument/2006/relationships" r:id="rId4"/>
            <a:extLst>
              <a:ext uri="{FF2B5EF4-FFF2-40B4-BE49-F238E27FC236}">
                <a16:creationId xmlns:a16="http://schemas.microsoft.com/office/drawing/2014/main" id="{8840FBDF-D35D-9D29-32A5-EB3A5B134AD4}"/>
              </a:ext>
            </a:extLst>
          </xdr:cNvPr>
          <xdr:cNvSpPr>
            <a:spLocks/>
          </xdr:cNvSpPr>
        </xdr:nvSpPr>
        <xdr:spPr>
          <a:xfrm>
            <a:off x="8524258" y="85705"/>
            <a:ext cx="1595321" cy="273164"/>
          </a:xfrm>
          <a:prstGeom prst="roundRect">
            <a:avLst/>
          </a:prstGeom>
          <a:solidFill>
            <a:schemeClr val="tx1">
              <a:lumMod val="75000"/>
              <a:lumOff val="25000"/>
            </a:schemeClr>
          </a:solidFill>
          <a:ln>
            <a:noFill/>
          </a:ln>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400" b="1">
                <a:solidFill>
                  <a:schemeClr val="bg1"/>
                </a:solidFill>
                <a:latin typeface="+mn-lt"/>
              </a:rPr>
              <a:t>Platform Issues</a:t>
            </a:r>
          </a:p>
        </xdr:txBody>
      </xdr:sp>
      <xdr:sp macro="" textlink="">
        <xdr:nvSpPr>
          <xdr:cNvPr id="8" name="Rectangle: Rounded Corners 7">
            <a:hlinkClick xmlns:r="http://schemas.openxmlformats.org/officeDocument/2006/relationships" r:id="rId5"/>
            <a:extLst>
              <a:ext uri="{FF2B5EF4-FFF2-40B4-BE49-F238E27FC236}">
                <a16:creationId xmlns:a16="http://schemas.microsoft.com/office/drawing/2014/main" id="{02DC49BA-E9C1-9264-FC6E-4238B6CC5B76}"/>
              </a:ext>
            </a:extLst>
          </xdr:cNvPr>
          <xdr:cNvSpPr>
            <a:spLocks/>
          </xdr:cNvSpPr>
        </xdr:nvSpPr>
        <xdr:spPr>
          <a:xfrm>
            <a:off x="10024337" y="82848"/>
            <a:ext cx="1754061" cy="273241"/>
          </a:xfrm>
          <a:prstGeom prst="roundRect">
            <a:avLst/>
          </a:prstGeom>
          <a:solidFill>
            <a:schemeClr val="tx1">
              <a:lumMod val="75000"/>
              <a:lumOff val="25000"/>
            </a:schemeClr>
          </a:solidFill>
          <a:ln>
            <a:noFill/>
          </a:ln>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400" b="1">
                <a:solidFill>
                  <a:schemeClr val="bg1"/>
                </a:solidFill>
                <a:latin typeface="+mn-lt"/>
              </a:rPr>
              <a:t>Support Requests</a:t>
            </a:r>
          </a:p>
        </xdr:txBody>
      </xdr:sp>
      <xdr:sp macro="" textlink="">
        <xdr:nvSpPr>
          <xdr:cNvPr id="9" name="Rectangle: Rounded Corners 8">
            <a:hlinkClick xmlns:r="http://schemas.openxmlformats.org/officeDocument/2006/relationships" r:id="rId6"/>
            <a:extLst>
              <a:ext uri="{FF2B5EF4-FFF2-40B4-BE49-F238E27FC236}">
                <a16:creationId xmlns:a16="http://schemas.microsoft.com/office/drawing/2014/main" id="{C9444DB1-01FA-8FD4-AEE2-1E0E87D9E156}"/>
              </a:ext>
            </a:extLst>
          </xdr:cNvPr>
          <xdr:cNvSpPr>
            <a:spLocks/>
          </xdr:cNvSpPr>
        </xdr:nvSpPr>
        <xdr:spPr>
          <a:xfrm>
            <a:off x="1198476" y="77150"/>
            <a:ext cx="2031853" cy="288611"/>
          </a:xfrm>
          <a:prstGeom prst="roundRect">
            <a:avLst/>
          </a:prstGeom>
          <a:solidFill>
            <a:schemeClr val="tx1">
              <a:lumMod val="75000"/>
              <a:lumOff val="25000"/>
            </a:schemeClr>
          </a:solidFill>
          <a:ln>
            <a:noFill/>
          </a:ln>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400" b="1">
                <a:solidFill>
                  <a:schemeClr val="bg1"/>
                </a:solidFill>
                <a:latin typeface="+mn-lt"/>
              </a:rPr>
              <a:t>Workload Information</a:t>
            </a:r>
          </a:p>
        </xdr:txBody>
      </xdr:sp>
      <xdr:sp macro="" textlink="">
        <xdr:nvSpPr>
          <xdr:cNvPr id="10" name="Rectangle: Rounded Corners 9">
            <a:hlinkClick xmlns:r="http://schemas.openxmlformats.org/officeDocument/2006/relationships" r:id="rId7"/>
            <a:extLst>
              <a:ext uri="{FF2B5EF4-FFF2-40B4-BE49-F238E27FC236}">
                <a16:creationId xmlns:a16="http://schemas.microsoft.com/office/drawing/2014/main" id="{8AC4905C-7287-1F07-B5F7-64323EB4336D}"/>
              </a:ext>
            </a:extLst>
          </xdr:cNvPr>
          <xdr:cNvSpPr>
            <a:spLocks/>
          </xdr:cNvSpPr>
        </xdr:nvSpPr>
        <xdr:spPr>
          <a:xfrm>
            <a:off x="4962020" y="83800"/>
            <a:ext cx="1796661" cy="273171"/>
          </a:xfrm>
          <a:prstGeom prst="roundRect">
            <a:avLst/>
          </a:prstGeom>
          <a:solidFill>
            <a:schemeClr val="tx1">
              <a:lumMod val="75000"/>
              <a:lumOff val="25000"/>
            </a:schemeClr>
          </a:solidFill>
          <a:ln>
            <a:noFill/>
          </a:ln>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400" b="1">
                <a:solidFill>
                  <a:schemeClr val="bg1"/>
                </a:solidFill>
                <a:latin typeface="+mn-lt"/>
              </a:rPr>
              <a:t>Analysis Planning</a:t>
            </a:r>
          </a:p>
        </xdr:txBody>
      </xdr:sp>
      <xdr:grpSp>
        <xdr:nvGrpSpPr>
          <xdr:cNvPr id="11" name="Group 10">
            <a:extLst>
              <a:ext uri="{FF2B5EF4-FFF2-40B4-BE49-F238E27FC236}">
                <a16:creationId xmlns:a16="http://schemas.microsoft.com/office/drawing/2014/main" id="{4770418A-2124-EFCE-767E-07826CF6E371}"/>
              </a:ext>
            </a:extLst>
          </xdr:cNvPr>
          <xdr:cNvGrpSpPr/>
        </xdr:nvGrpSpPr>
        <xdr:grpSpPr>
          <a:xfrm>
            <a:off x="180973" y="358137"/>
            <a:ext cx="11395709" cy="46675"/>
            <a:chOff x="184785" y="222884"/>
            <a:chExt cx="11383327" cy="281938"/>
          </a:xfrm>
        </xdr:grpSpPr>
        <xdr:sp macro="" textlink="">
          <xdr:nvSpPr>
            <xdr:cNvPr id="12" name="Rectangle 11">
              <a:extLst>
                <a:ext uri="{FF2B5EF4-FFF2-40B4-BE49-F238E27FC236}">
                  <a16:creationId xmlns:a16="http://schemas.microsoft.com/office/drawing/2014/main" id="{F4C3E2A6-FC58-248F-5588-497A4A19BCA0}"/>
                </a:ext>
              </a:extLst>
            </xdr:cNvPr>
            <xdr:cNvSpPr/>
          </xdr:nvSpPr>
          <xdr:spPr>
            <a:xfrm>
              <a:off x="184785" y="222884"/>
              <a:ext cx="979169" cy="280987"/>
            </a:xfrm>
            <a:prstGeom prst="rect">
              <a:avLst/>
            </a:prstGeom>
            <a:solidFill>
              <a:schemeClr val="bg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sp macro="" textlink="">
          <xdr:nvSpPr>
            <xdr:cNvPr id="13" name="Rectangle 12">
              <a:extLst>
                <a:ext uri="{FF2B5EF4-FFF2-40B4-BE49-F238E27FC236}">
                  <a16:creationId xmlns:a16="http://schemas.microsoft.com/office/drawing/2014/main" id="{1007616D-6232-3C0D-1C98-5A6E541114FF}"/>
                </a:ext>
              </a:extLst>
            </xdr:cNvPr>
            <xdr:cNvSpPr/>
          </xdr:nvSpPr>
          <xdr:spPr>
            <a:xfrm>
              <a:off x="1364931" y="222884"/>
              <a:ext cx="1676400" cy="279081"/>
            </a:xfrm>
            <a:prstGeom prst="rect">
              <a:avLst/>
            </a:prstGeom>
            <a:solidFill>
              <a:schemeClr val="bg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sp macro="" textlink="">
          <xdr:nvSpPr>
            <xdr:cNvPr id="14" name="Rectangle 13">
              <a:extLst>
                <a:ext uri="{FF2B5EF4-FFF2-40B4-BE49-F238E27FC236}">
                  <a16:creationId xmlns:a16="http://schemas.microsoft.com/office/drawing/2014/main" id="{BB815E3D-480F-0576-C06F-932B82ECD1D6}"/>
                </a:ext>
              </a:extLst>
            </xdr:cNvPr>
            <xdr:cNvSpPr/>
          </xdr:nvSpPr>
          <xdr:spPr>
            <a:xfrm>
              <a:off x="3301363" y="222884"/>
              <a:ext cx="1520192" cy="281938"/>
            </a:xfrm>
            <a:prstGeom prst="rect">
              <a:avLst/>
            </a:prstGeom>
            <a:solidFill>
              <a:schemeClr val="bg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sp macro="" textlink="">
          <xdr:nvSpPr>
            <xdr:cNvPr id="15" name="Rectangle 14">
              <a:extLst>
                <a:ext uri="{FF2B5EF4-FFF2-40B4-BE49-F238E27FC236}">
                  <a16:creationId xmlns:a16="http://schemas.microsoft.com/office/drawing/2014/main" id="{4D048BBB-EC53-3711-0624-6D6EAC9C7522}"/>
                </a:ext>
              </a:extLst>
            </xdr:cNvPr>
            <xdr:cNvSpPr/>
          </xdr:nvSpPr>
          <xdr:spPr>
            <a:xfrm>
              <a:off x="5181598" y="222884"/>
              <a:ext cx="1362078" cy="280032"/>
            </a:xfrm>
            <a:prstGeom prst="rect">
              <a:avLst/>
            </a:prstGeom>
            <a:solidFill>
              <a:schemeClr val="bg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sp macro="" textlink="">
          <xdr:nvSpPr>
            <xdr:cNvPr id="16" name="Rectangle 15">
              <a:extLst>
                <a:ext uri="{FF2B5EF4-FFF2-40B4-BE49-F238E27FC236}">
                  <a16:creationId xmlns:a16="http://schemas.microsoft.com/office/drawing/2014/main" id="{1C21DA8F-B946-5067-0BAB-987360933BE5}"/>
                </a:ext>
              </a:extLst>
            </xdr:cNvPr>
            <xdr:cNvSpPr/>
          </xdr:nvSpPr>
          <xdr:spPr>
            <a:xfrm>
              <a:off x="6880858" y="222884"/>
              <a:ext cx="1562102" cy="278126"/>
            </a:xfrm>
            <a:prstGeom prst="rect">
              <a:avLst/>
            </a:prstGeom>
            <a:solidFill>
              <a:schemeClr val="bg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sp macro="" textlink="">
          <xdr:nvSpPr>
            <xdr:cNvPr id="17" name="Rectangle 16">
              <a:extLst>
                <a:ext uri="{FF2B5EF4-FFF2-40B4-BE49-F238E27FC236}">
                  <a16:creationId xmlns:a16="http://schemas.microsoft.com/office/drawing/2014/main" id="{2FD6E838-B09A-D0EC-CE43-52DDB5614CA8}"/>
                </a:ext>
              </a:extLst>
            </xdr:cNvPr>
            <xdr:cNvSpPr/>
          </xdr:nvSpPr>
          <xdr:spPr>
            <a:xfrm>
              <a:off x="8718230" y="222884"/>
              <a:ext cx="1189675" cy="280983"/>
            </a:xfrm>
            <a:prstGeom prst="rect">
              <a:avLst/>
            </a:prstGeom>
            <a:solidFill>
              <a:schemeClr val="bg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sp macro="" textlink="">
          <xdr:nvSpPr>
            <xdr:cNvPr id="18" name="Rectangle 17">
              <a:extLst>
                <a:ext uri="{FF2B5EF4-FFF2-40B4-BE49-F238E27FC236}">
                  <a16:creationId xmlns:a16="http://schemas.microsoft.com/office/drawing/2014/main" id="{0B5E700A-1053-0F73-0BA8-1089C85B9220}"/>
                </a:ext>
              </a:extLst>
            </xdr:cNvPr>
            <xdr:cNvSpPr/>
          </xdr:nvSpPr>
          <xdr:spPr>
            <a:xfrm>
              <a:off x="10210797" y="222884"/>
              <a:ext cx="1357315" cy="279077"/>
            </a:xfrm>
            <a:prstGeom prst="rect">
              <a:avLst/>
            </a:prstGeom>
            <a:solidFill>
              <a:schemeClr val="bg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grpSp>
    </xdr:grp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78952</xdr:colOff>
      <xdr:row>2</xdr:row>
      <xdr:rowOff>132292</xdr:rowOff>
    </xdr:from>
    <xdr:to>
      <xdr:col>1</xdr:col>
      <xdr:colOff>173355</xdr:colOff>
      <xdr:row>9</xdr:row>
      <xdr:rowOff>50165</xdr:rowOff>
    </xdr:to>
    <xdr:sp macro="" textlink="">
      <xdr:nvSpPr>
        <xdr:cNvPr id="19" name="Rectangle: Rounded Corners 18">
          <a:extLst>
            <a:ext uri="{FF2B5EF4-FFF2-40B4-BE49-F238E27FC236}">
              <a16:creationId xmlns:a16="http://schemas.microsoft.com/office/drawing/2014/main" id="{9AAD2617-B689-4303-AF0A-6D68B125EDE3}"/>
            </a:ext>
          </a:extLst>
        </xdr:cNvPr>
        <xdr:cNvSpPr/>
      </xdr:nvSpPr>
      <xdr:spPr>
        <a:xfrm>
          <a:off x="78952" y="513292"/>
          <a:ext cx="1944338" cy="1260154"/>
        </a:xfrm>
        <a:prstGeom prst="roundRect">
          <a:avLst/>
        </a:prstGeom>
        <a:solidFill>
          <a:srgbClr val="595959"/>
        </a:solidFill>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600" b="1" baseline="0">
              <a:solidFill>
                <a:schemeClr val="bg1"/>
              </a:solidFill>
              <a:latin typeface="+mj-lt"/>
            </a:rPr>
            <a:t>Workload Inventory</a:t>
          </a:r>
        </a:p>
      </xdr:txBody>
    </xdr:sp>
    <xdr:clientData/>
  </xdr:twoCellAnchor>
  <xdr:twoCellAnchor editAs="absolute">
    <xdr:from>
      <xdr:col>0</xdr:col>
      <xdr:colOff>0</xdr:colOff>
      <xdr:row>0</xdr:row>
      <xdr:rowOff>0</xdr:rowOff>
    </xdr:from>
    <xdr:to>
      <xdr:col>4</xdr:col>
      <xdr:colOff>1781175</xdr:colOff>
      <xdr:row>2</xdr:row>
      <xdr:rowOff>85302</xdr:rowOff>
    </xdr:to>
    <xdr:grpSp>
      <xdr:nvGrpSpPr>
        <xdr:cNvPr id="20" name="Group 19">
          <a:extLst>
            <a:ext uri="{FF2B5EF4-FFF2-40B4-BE49-F238E27FC236}">
              <a16:creationId xmlns:a16="http://schemas.microsoft.com/office/drawing/2014/main" id="{6533E630-94E1-4BFD-AF69-F58CF21C681E}"/>
            </a:ext>
          </a:extLst>
        </xdr:cNvPr>
        <xdr:cNvGrpSpPr/>
      </xdr:nvGrpSpPr>
      <xdr:grpSpPr>
        <a:xfrm>
          <a:off x="0" y="0"/>
          <a:ext cx="11772900" cy="447252"/>
          <a:chOff x="0" y="0"/>
          <a:chExt cx="12070080" cy="459104"/>
        </a:xfrm>
      </xdr:grpSpPr>
      <xdr:sp macro="" textlink="">
        <xdr:nvSpPr>
          <xdr:cNvPr id="21" name="Rectangle 20">
            <a:extLst>
              <a:ext uri="{FF2B5EF4-FFF2-40B4-BE49-F238E27FC236}">
                <a16:creationId xmlns:a16="http://schemas.microsoft.com/office/drawing/2014/main" id="{0901F85C-3DD1-237C-22F0-A4AA58F02D61}"/>
              </a:ext>
            </a:extLst>
          </xdr:cNvPr>
          <xdr:cNvSpPr/>
        </xdr:nvSpPr>
        <xdr:spPr>
          <a:xfrm>
            <a:off x="0" y="0"/>
            <a:ext cx="12070080" cy="459104"/>
          </a:xfrm>
          <a:prstGeom prst="rect">
            <a:avLst/>
          </a:prstGeom>
          <a:solidFill>
            <a:schemeClr val="tx1">
              <a:lumMod val="75000"/>
              <a:lumOff val="2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sp macro="" textlink="">
        <xdr:nvSpPr>
          <xdr:cNvPr id="22" name="Rectangle: Rounded Corners 21">
            <a:hlinkClick xmlns:r="http://schemas.openxmlformats.org/officeDocument/2006/relationships" r:id="rId1"/>
            <a:extLst>
              <a:ext uri="{FF2B5EF4-FFF2-40B4-BE49-F238E27FC236}">
                <a16:creationId xmlns:a16="http://schemas.microsoft.com/office/drawing/2014/main" id="{CF8292A5-33BA-D6A4-71F6-D716C1F8C693}"/>
              </a:ext>
            </a:extLst>
          </xdr:cNvPr>
          <xdr:cNvSpPr>
            <a:spLocks/>
          </xdr:cNvSpPr>
        </xdr:nvSpPr>
        <xdr:spPr>
          <a:xfrm>
            <a:off x="0" y="78113"/>
            <a:ext cx="1357213" cy="279895"/>
          </a:xfrm>
          <a:prstGeom prst="roundRect">
            <a:avLst/>
          </a:prstGeom>
          <a:solidFill>
            <a:schemeClr val="tx1">
              <a:lumMod val="75000"/>
              <a:lumOff val="25000"/>
            </a:schemeClr>
          </a:solidFill>
          <a:ln>
            <a:noFill/>
          </a:ln>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400" b="1">
                <a:solidFill>
                  <a:schemeClr val="bg1"/>
                </a:solidFill>
                <a:latin typeface="+mn-lt"/>
              </a:rPr>
              <a:t>Introduction</a:t>
            </a:r>
          </a:p>
        </xdr:txBody>
      </xdr:sp>
      <xdr:sp macro="" textlink="">
        <xdr:nvSpPr>
          <xdr:cNvPr id="23" name="Rectangle: Rounded Corners 22">
            <a:hlinkClick xmlns:r="http://schemas.openxmlformats.org/officeDocument/2006/relationships" r:id="rId2"/>
            <a:extLst>
              <a:ext uri="{FF2B5EF4-FFF2-40B4-BE49-F238E27FC236}">
                <a16:creationId xmlns:a16="http://schemas.microsoft.com/office/drawing/2014/main" id="{C1B3F3F1-64B9-EBC0-2C94-E68AA7974AF3}"/>
              </a:ext>
            </a:extLst>
          </xdr:cNvPr>
          <xdr:cNvSpPr>
            <a:spLocks/>
          </xdr:cNvSpPr>
        </xdr:nvSpPr>
        <xdr:spPr>
          <a:xfrm>
            <a:off x="3262077" y="85705"/>
            <a:ext cx="1587385" cy="272219"/>
          </a:xfrm>
          <a:prstGeom prst="roundRect">
            <a:avLst/>
          </a:prstGeom>
          <a:solidFill>
            <a:schemeClr val="tx1">
              <a:lumMod val="75000"/>
              <a:lumOff val="25000"/>
            </a:schemeClr>
          </a:solidFill>
          <a:ln>
            <a:noFill/>
          </a:ln>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400" b="1">
                <a:solidFill>
                  <a:schemeClr val="bg1"/>
                </a:solidFill>
                <a:latin typeface="+mn-lt"/>
                <a:ea typeface="+mn-ea"/>
                <a:cs typeface="+mn-cs"/>
              </a:rPr>
              <a:t>Inventory</a:t>
            </a:r>
          </a:p>
        </xdr:txBody>
      </xdr:sp>
      <xdr:sp macro="" textlink="">
        <xdr:nvSpPr>
          <xdr:cNvPr id="24" name="Rectangle: Rounded Corners 23">
            <a:hlinkClick xmlns:r="http://schemas.openxmlformats.org/officeDocument/2006/relationships" r:id="rId3"/>
            <a:extLst>
              <a:ext uri="{FF2B5EF4-FFF2-40B4-BE49-F238E27FC236}">
                <a16:creationId xmlns:a16="http://schemas.microsoft.com/office/drawing/2014/main" id="{C2C51AD4-9BFD-230B-E3B4-DEDDB6191274}"/>
              </a:ext>
            </a:extLst>
          </xdr:cNvPr>
          <xdr:cNvSpPr>
            <a:spLocks/>
          </xdr:cNvSpPr>
        </xdr:nvSpPr>
        <xdr:spPr>
          <a:xfrm>
            <a:off x="6619396" y="83800"/>
            <a:ext cx="2087412" cy="275155"/>
          </a:xfrm>
          <a:prstGeom prst="roundRect">
            <a:avLst/>
          </a:prstGeom>
          <a:solidFill>
            <a:schemeClr val="tx1">
              <a:lumMod val="75000"/>
              <a:lumOff val="25000"/>
            </a:schemeClr>
          </a:solidFill>
          <a:ln>
            <a:noFill/>
          </a:ln>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400" b="1">
                <a:solidFill>
                  <a:schemeClr val="bg1"/>
                </a:solidFill>
                <a:latin typeface="+mn-lt"/>
              </a:rPr>
              <a:t>Impacted Resources</a:t>
            </a:r>
          </a:p>
        </xdr:txBody>
      </xdr:sp>
      <xdr:sp macro="" textlink="">
        <xdr:nvSpPr>
          <xdr:cNvPr id="25" name="Rectangle: Rounded Corners 24">
            <a:hlinkClick xmlns:r="http://schemas.openxmlformats.org/officeDocument/2006/relationships" r:id="rId4"/>
            <a:extLst>
              <a:ext uri="{FF2B5EF4-FFF2-40B4-BE49-F238E27FC236}">
                <a16:creationId xmlns:a16="http://schemas.microsoft.com/office/drawing/2014/main" id="{FEBE1DE0-6970-4B7A-7C15-362245F7D2FF}"/>
              </a:ext>
            </a:extLst>
          </xdr:cNvPr>
          <xdr:cNvSpPr>
            <a:spLocks/>
          </xdr:cNvSpPr>
        </xdr:nvSpPr>
        <xdr:spPr>
          <a:xfrm>
            <a:off x="8524258" y="85705"/>
            <a:ext cx="1595321" cy="273164"/>
          </a:xfrm>
          <a:prstGeom prst="roundRect">
            <a:avLst/>
          </a:prstGeom>
          <a:solidFill>
            <a:schemeClr val="tx1">
              <a:lumMod val="75000"/>
              <a:lumOff val="25000"/>
            </a:schemeClr>
          </a:solidFill>
          <a:ln>
            <a:noFill/>
          </a:ln>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400" b="1">
                <a:solidFill>
                  <a:schemeClr val="bg1"/>
                </a:solidFill>
                <a:latin typeface="+mn-lt"/>
              </a:rPr>
              <a:t>Platform Issues</a:t>
            </a:r>
          </a:p>
        </xdr:txBody>
      </xdr:sp>
      <xdr:sp macro="" textlink="">
        <xdr:nvSpPr>
          <xdr:cNvPr id="26" name="Rectangle: Rounded Corners 25">
            <a:hlinkClick xmlns:r="http://schemas.openxmlformats.org/officeDocument/2006/relationships" r:id="rId5"/>
            <a:extLst>
              <a:ext uri="{FF2B5EF4-FFF2-40B4-BE49-F238E27FC236}">
                <a16:creationId xmlns:a16="http://schemas.microsoft.com/office/drawing/2014/main" id="{ED9B3D58-B7FC-D192-7B5E-B1687C9E8805}"/>
              </a:ext>
            </a:extLst>
          </xdr:cNvPr>
          <xdr:cNvSpPr>
            <a:spLocks/>
          </xdr:cNvSpPr>
        </xdr:nvSpPr>
        <xdr:spPr>
          <a:xfrm>
            <a:off x="10024337" y="82848"/>
            <a:ext cx="1754061" cy="273241"/>
          </a:xfrm>
          <a:prstGeom prst="roundRect">
            <a:avLst/>
          </a:prstGeom>
          <a:solidFill>
            <a:schemeClr val="tx1">
              <a:lumMod val="75000"/>
              <a:lumOff val="25000"/>
            </a:schemeClr>
          </a:solidFill>
          <a:ln>
            <a:noFill/>
          </a:ln>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400" b="1">
                <a:solidFill>
                  <a:schemeClr val="bg1"/>
                </a:solidFill>
                <a:latin typeface="+mn-lt"/>
              </a:rPr>
              <a:t>Support Requests</a:t>
            </a:r>
          </a:p>
        </xdr:txBody>
      </xdr:sp>
      <xdr:sp macro="" textlink="">
        <xdr:nvSpPr>
          <xdr:cNvPr id="27" name="Rectangle: Rounded Corners 26">
            <a:hlinkClick xmlns:r="http://schemas.openxmlformats.org/officeDocument/2006/relationships" r:id="rId6"/>
            <a:extLst>
              <a:ext uri="{FF2B5EF4-FFF2-40B4-BE49-F238E27FC236}">
                <a16:creationId xmlns:a16="http://schemas.microsoft.com/office/drawing/2014/main" id="{7AA88C62-08AA-59B6-CD19-C5892D733ADD}"/>
              </a:ext>
            </a:extLst>
          </xdr:cNvPr>
          <xdr:cNvSpPr>
            <a:spLocks/>
          </xdr:cNvSpPr>
        </xdr:nvSpPr>
        <xdr:spPr>
          <a:xfrm>
            <a:off x="1198476" y="77150"/>
            <a:ext cx="2031853" cy="288611"/>
          </a:xfrm>
          <a:prstGeom prst="roundRect">
            <a:avLst/>
          </a:prstGeom>
          <a:solidFill>
            <a:schemeClr val="tx1">
              <a:lumMod val="75000"/>
              <a:lumOff val="25000"/>
            </a:schemeClr>
          </a:solidFill>
          <a:ln>
            <a:noFill/>
          </a:ln>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400" b="1">
                <a:solidFill>
                  <a:schemeClr val="bg1"/>
                </a:solidFill>
                <a:latin typeface="+mn-lt"/>
              </a:rPr>
              <a:t>Workload Information</a:t>
            </a:r>
          </a:p>
        </xdr:txBody>
      </xdr:sp>
      <xdr:sp macro="" textlink="">
        <xdr:nvSpPr>
          <xdr:cNvPr id="28" name="Rectangle: Rounded Corners 27">
            <a:hlinkClick xmlns:r="http://schemas.openxmlformats.org/officeDocument/2006/relationships" r:id="rId7"/>
            <a:extLst>
              <a:ext uri="{FF2B5EF4-FFF2-40B4-BE49-F238E27FC236}">
                <a16:creationId xmlns:a16="http://schemas.microsoft.com/office/drawing/2014/main" id="{0187599C-3E44-DAE2-6250-26CE222EA8E3}"/>
              </a:ext>
            </a:extLst>
          </xdr:cNvPr>
          <xdr:cNvSpPr>
            <a:spLocks/>
          </xdr:cNvSpPr>
        </xdr:nvSpPr>
        <xdr:spPr>
          <a:xfrm>
            <a:off x="4962020" y="83800"/>
            <a:ext cx="1796661" cy="273171"/>
          </a:xfrm>
          <a:prstGeom prst="roundRect">
            <a:avLst/>
          </a:prstGeom>
          <a:solidFill>
            <a:schemeClr val="tx1">
              <a:lumMod val="75000"/>
              <a:lumOff val="25000"/>
            </a:schemeClr>
          </a:solidFill>
          <a:ln>
            <a:noFill/>
          </a:ln>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400" b="1">
                <a:solidFill>
                  <a:schemeClr val="bg1"/>
                </a:solidFill>
                <a:latin typeface="+mn-lt"/>
              </a:rPr>
              <a:t>Analysis Planning</a:t>
            </a:r>
          </a:p>
        </xdr:txBody>
      </xdr:sp>
      <xdr:grpSp>
        <xdr:nvGrpSpPr>
          <xdr:cNvPr id="29" name="Group 28">
            <a:extLst>
              <a:ext uri="{FF2B5EF4-FFF2-40B4-BE49-F238E27FC236}">
                <a16:creationId xmlns:a16="http://schemas.microsoft.com/office/drawing/2014/main" id="{3485C8D3-25F6-7652-E2FB-0DD35C4DB9AE}"/>
              </a:ext>
            </a:extLst>
          </xdr:cNvPr>
          <xdr:cNvGrpSpPr/>
        </xdr:nvGrpSpPr>
        <xdr:grpSpPr>
          <a:xfrm>
            <a:off x="180973" y="358137"/>
            <a:ext cx="11395709" cy="46675"/>
            <a:chOff x="184785" y="222884"/>
            <a:chExt cx="11383327" cy="281938"/>
          </a:xfrm>
        </xdr:grpSpPr>
        <xdr:sp macro="" textlink="">
          <xdr:nvSpPr>
            <xdr:cNvPr id="30" name="Rectangle 29">
              <a:extLst>
                <a:ext uri="{FF2B5EF4-FFF2-40B4-BE49-F238E27FC236}">
                  <a16:creationId xmlns:a16="http://schemas.microsoft.com/office/drawing/2014/main" id="{293576F5-7F13-FC4C-3D38-2552A1D403D0}"/>
                </a:ext>
              </a:extLst>
            </xdr:cNvPr>
            <xdr:cNvSpPr/>
          </xdr:nvSpPr>
          <xdr:spPr>
            <a:xfrm>
              <a:off x="184785" y="222884"/>
              <a:ext cx="979169" cy="280987"/>
            </a:xfrm>
            <a:prstGeom prst="rect">
              <a:avLst/>
            </a:prstGeom>
            <a:solidFill>
              <a:schemeClr val="bg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sp macro="" textlink="">
          <xdr:nvSpPr>
            <xdr:cNvPr id="31" name="Rectangle 30">
              <a:extLst>
                <a:ext uri="{FF2B5EF4-FFF2-40B4-BE49-F238E27FC236}">
                  <a16:creationId xmlns:a16="http://schemas.microsoft.com/office/drawing/2014/main" id="{231C21EC-CCCE-B0EB-52D9-AF9DD5E8D7EF}"/>
                </a:ext>
              </a:extLst>
            </xdr:cNvPr>
            <xdr:cNvSpPr/>
          </xdr:nvSpPr>
          <xdr:spPr>
            <a:xfrm>
              <a:off x="1364931" y="222884"/>
              <a:ext cx="1676400" cy="279081"/>
            </a:xfrm>
            <a:prstGeom prst="rect">
              <a:avLst/>
            </a:prstGeom>
            <a:solidFill>
              <a:schemeClr val="bg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sp macro="" textlink="">
          <xdr:nvSpPr>
            <xdr:cNvPr id="32" name="Rectangle 31">
              <a:extLst>
                <a:ext uri="{FF2B5EF4-FFF2-40B4-BE49-F238E27FC236}">
                  <a16:creationId xmlns:a16="http://schemas.microsoft.com/office/drawing/2014/main" id="{1355AB33-C93D-B656-30EA-BD0FA2D28C31}"/>
                </a:ext>
              </a:extLst>
            </xdr:cNvPr>
            <xdr:cNvSpPr/>
          </xdr:nvSpPr>
          <xdr:spPr>
            <a:xfrm>
              <a:off x="3301363" y="222884"/>
              <a:ext cx="1520192" cy="281938"/>
            </a:xfrm>
            <a:prstGeom prst="rect">
              <a:avLst/>
            </a:prstGeom>
            <a:solidFill>
              <a:schemeClr val="bg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sp macro="" textlink="">
          <xdr:nvSpPr>
            <xdr:cNvPr id="33" name="Rectangle 32">
              <a:extLst>
                <a:ext uri="{FF2B5EF4-FFF2-40B4-BE49-F238E27FC236}">
                  <a16:creationId xmlns:a16="http://schemas.microsoft.com/office/drawing/2014/main" id="{3222DE28-C0AA-4F96-1DC3-EE817DBB5888}"/>
                </a:ext>
              </a:extLst>
            </xdr:cNvPr>
            <xdr:cNvSpPr/>
          </xdr:nvSpPr>
          <xdr:spPr>
            <a:xfrm>
              <a:off x="5181598" y="222884"/>
              <a:ext cx="1362078" cy="280032"/>
            </a:xfrm>
            <a:prstGeom prst="rect">
              <a:avLst/>
            </a:prstGeom>
            <a:solidFill>
              <a:schemeClr val="bg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sp macro="" textlink="">
          <xdr:nvSpPr>
            <xdr:cNvPr id="34" name="Rectangle 33">
              <a:extLst>
                <a:ext uri="{FF2B5EF4-FFF2-40B4-BE49-F238E27FC236}">
                  <a16:creationId xmlns:a16="http://schemas.microsoft.com/office/drawing/2014/main" id="{5862F140-C6F9-378B-6C79-3C98E30C69C1}"/>
                </a:ext>
              </a:extLst>
            </xdr:cNvPr>
            <xdr:cNvSpPr/>
          </xdr:nvSpPr>
          <xdr:spPr>
            <a:xfrm>
              <a:off x="6880858" y="222884"/>
              <a:ext cx="1562102" cy="278126"/>
            </a:xfrm>
            <a:prstGeom prst="rect">
              <a:avLst/>
            </a:prstGeom>
            <a:solidFill>
              <a:schemeClr val="bg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sp macro="" textlink="">
          <xdr:nvSpPr>
            <xdr:cNvPr id="35" name="Rectangle 34">
              <a:extLst>
                <a:ext uri="{FF2B5EF4-FFF2-40B4-BE49-F238E27FC236}">
                  <a16:creationId xmlns:a16="http://schemas.microsoft.com/office/drawing/2014/main" id="{282CC4CA-C850-1907-6712-2958ABF91B02}"/>
                </a:ext>
              </a:extLst>
            </xdr:cNvPr>
            <xdr:cNvSpPr/>
          </xdr:nvSpPr>
          <xdr:spPr>
            <a:xfrm>
              <a:off x="8718230" y="222884"/>
              <a:ext cx="1189675" cy="280983"/>
            </a:xfrm>
            <a:prstGeom prst="rect">
              <a:avLst/>
            </a:prstGeom>
            <a:solidFill>
              <a:schemeClr val="bg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sp macro="" textlink="">
          <xdr:nvSpPr>
            <xdr:cNvPr id="36" name="Rectangle 35">
              <a:extLst>
                <a:ext uri="{FF2B5EF4-FFF2-40B4-BE49-F238E27FC236}">
                  <a16:creationId xmlns:a16="http://schemas.microsoft.com/office/drawing/2014/main" id="{C4FCE813-32AE-4D3F-A3D9-5A1C2AEB4ECE}"/>
                </a:ext>
              </a:extLst>
            </xdr:cNvPr>
            <xdr:cNvSpPr/>
          </xdr:nvSpPr>
          <xdr:spPr>
            <a:xfrm>
              <a:off x="10210797" y="222884"/>
              <a:ext cx="1357315" cy="279077"/>
            </a:xfrm>
            <a:prstGeom prst="rect">
              <a:avLst/>
            </a:prstGeom>
            <a:solidFill>
              <a:schemeClr val="bg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grpSp>
    </xdr:grpSp>
    <xdr:clientData/>
  </xdr:twoCellAnchor>
</xdr:wsDr>
</file>

<file path=xl/drawings/drawing4.xml><?xml version="1.0" encoding="utf-8"?>
<xdr:wsDr xmlns:xdr="http://schemas.openxmlformats.org/drawingml/2006/spreadsheetDrawing" xmlns:a="http://schemas.openxmlformats.org/drawingml/2006/main">
  <xdr:twoCellAnchor editAs="oneCell">
    <xdr:from>
      <xdr:col>5</xdr:col>
      <xdr:colOff>98099</xdr:colOff>
      <xdr:row>5</xdr:row>
      <xdr:rowOff>313372</xdr:rowOff>
    </xdr:from>
    <xdr:to>
      <xdr:col>6</xdr:col>
      <xdr:colOff>0</xdr:colOff>
      <xdr:row>8</xdr:row>
      <xdr:rowOff>19050</xdr:rowOff>
    </xdr:to>
    <xdr:sp macro="" textlink="">
      <xdr:nvSpPr>
        <xdr:cNvPr id="37" name="Rectangle: Rounded Corners 36">
          <a:extLst>
            <a:ext uri="{FF2B5EF4-FFF2-40B4-BE49-F238E27FC236}">
              <a16:creationId xmlns:a16="http://schemas.microsoft.com/office/drawing/2014/main" id="{DC720CEA-8964-40AD-B84A-17E60BED362F}"/>
            </a:ext>
          </a:extLst>
        </xdr:cNvPr>
        <xdr:cNvSpPr/>
      </xdr:nvSpPr>
      <xdr:spPr>
        <a:xfrm>
          <a:off x="10179359" y="1532572"/>
          <a:ext cx="2075489" cy="700045"/>
        </a:xfrm>
        <a:prstGeom prst="roundRect">
          <a:avLst>
            <a:gd name="adj" fmla="val 11011"/>
          </a:avLst>
        </a:prstGeom>
        <a:solidFill>
          <a:schemeClr val="bg1">
            <a:lumMod val="95000"/>
          </a:schemeClr>
        </a:solidFill>
        <a:ln>
          <a:noFill/>
        </a:ln>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100" b="1">
              <a:solidFill>
                <a:sysClr val="windowText" lastClr="000000"/>
              </a:solidFill>
              <a:latin typeface="+mj-lt"/>
            </a:rPr>
            <a:t>Step</a:t>
          </a:r>
          <a:r>
            <a:rPr lang="en-US" sz="1100" b="1" baseline="0">
              <a:solidFill>
                <a:sysClr val="windowText" lastClr="000000"/>
              </a:solidFill>
              <a:latin typeface="+mj-lt"/>
            </a:rPr>
            <a:t> 1. U</a:t>
          </a:r>
          <a:r>
            <a:rPr lang="en-US" sz="1100" b="1">
              <a:solidFill>
                <a:sysClr val="windowText" lastClr="000000"/>
              </a:solidFill>
              <a:latin typeface="+mj-lt"/>
            </a:rPr>
            <a:t>se this column to assign coworkers who will collaborate with you.</a:t>
          </a:r>
        </a:p>
      </xdr:txBody>
    </xdr:sp>
    <xdr:clientData/>
  </xdr:twoCellAnchor>
  <xdr:twoCellAnchor editAs="oneCell">
    <xdr:from>
      <xdr:col>0</xdr:col>
      <xdr:colOff>109534</xdr:colOff>
      <xdr:row>2</xdr:row>
      <xdr:rowOff>107631</xdr:rowOff>
    </xdr:from>
    <xdr:to>
      <xdr:col>1</xdr:col>
      <xdr:colOff>249555</xdr:colOff>
      <xdr:row>7</xdr:row>
      <xdr:rowOff>173355</xdr:rowOff>
    </xdr:to>
    <xdr:sp macro="" textlink="">
      <xdr:nvSpPr>
        <xdr:cNvPr id="4" name="Rectangle: Rounded Corners 3">
          <a:extLst>
            <a:ext uri="{FF2B5EF4-FFF2-40B4-BE49-F238E27FC236}">
              <a16:creationId xmlns:a16="http://schemas.microsoft.com/office/drawing/2014/main" id="{44837364-E302-46B7-8A7E-59E9473B6077}"/>
            </a:ext>
          </a:extLst>
        </xdr:cNvPr>
        <xdr:cNvSpPr/>
      </xdr:nvSpPr>
      <xdr:spPr>
        <a:xfrm>
          <a:off x="109534" y="488631"/>
          <a:ext cx="1941689" cy="1589033"/>
        </a:xfrm>
        <a:prstGeom prst="roundRect">
          <a:avLst/>
        </a:prstGeom>
        <a:solidFill>
          <a:srgbClr val="595959"/>
        </a:solidFill>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800" b="1" baseline="0">
              <a:solidFill>
                <a:schemeClr val="bg1"/>
              </a:solidFill>
              <a:latin typeface="+mj-lt"/>
            </a:rPr>
            <a:t>Analysis Planning</a:t>
          </a:r>
          <a:endParaRPr lang="en-US" sz="1800" b="1">
            <a:solidFill>
              <a:schemeClr val="bg1"/>
            </a:solidFill>
            <a:latin typeface="+mj-lt"/>
          </a:endParaRPr>
        </a:p>
      </xdr:txBody>
    </xdr:sp>
    <xdr:clientData/>
  </xdr:twoCellAnchor>
  <xdr:twoCellAnchor editAs="oneCell">
    <xdr:from>
      <xdr:col>6</xdr:col>
      <xdr:colOff>39999</xdr:colOff>
      <xdr:row>5</xdr:row>
      <xdr:rowOff>220980</xdr:rowOff>
    </xdr:from>
    <xdr:to>
      <xdr:col>7</xdr:col>
      <xdr:colOff>0</xdr:colOff>
      <xdr:row>8</xdr:row>
      <xdr:rowOff>19050</xdr:rowOff>
    </xdr:to>
    <xdr:sp macro="" textlink="">
      <xdr:nvSpPr>
        <xdr:cNvPr id="40" name="Rectangle: Rounded Corners 39">
          <a:extLst>
            <a:ext uri="{FF2B5EF4-FFF2-40B4-BE49-F238E27FC236}">
              <a16:creationId xmlns:a16="http://schemas.microsoft.com/office/drawing/2014/main" id="{3B278B5B-D975-F7ED-CC0C-A9B819837987}"/>
            </a:ext>
          </a:extLst>
        </xdr:cNvPr>
        <xdr:cNvSpPr/>
      </xdr:nvSpPr>
      <xdr:spPr>
        <a:xfrm>
          <a:off x="12437739" y="1440180"/>
          <a:ext cx="2580268" cy="793350"/>
        </a:xfrm>
        <a:prstGeom prst="roundRect">
          <a:avLst>
            <a:gd name="adj" fmla="val 11011"/>
          </a:avLst>
        </a:prstGeom>
        <a:solidFill>
          <a:schemeClr val="bg1">
            <a:lumMod val="95000"/>
          </a:schemeClr>
        </a:solidFill>
        <a:ln>
          <a:noFill/>
        </a:ln>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100" b="1">
              <a:solidFill>
                <a:sysClr val="windowText" lastClr="000000"/>
              </a:solidFill>
              <a:latin typeface="+mj-lt"/>
            </a:rPr>
            <a:t>Step 2. The status in this column updates automatically based on the Review Status (Column A) from the other worksheets.</a:t>
          </a:r>
        </a:p>
      </xdr:txBody>
    </xdr:sp>
    <xdr:clientData/>
  </xdr:twoCellAnchor>
  <xdr:twoCellAnchor>
    <xdr:from>
      <xdr:col>6</xdr:col>
      <xdr:colOff>1035534</xdr:colOff>
      <xdr:row>7</xdr:row>
      <xdr:rowOff>260448</xdr:rowOff>
    </xdr:from>
    <xdr:to>
      <xdr:col>6</xdr:col>
      <xdr:colOff>1510911</xdr:colOff>
      <xdr:row>9</xdr:row>
      <xdr:rowOff>29943</xdr:rowOff>
    </xdr:to>
    <xdr:sp macro="" textlink="">
      <xdr:nvSpPr>
        <xdr:cNvPr id="2" name="Arrow: Right 1">
          <a:extLst>
            <a:ext uri="{FF2B5EF4-FFF2-40B4-BE49-F238E27FC236}">
              <a16:creationId xmlns:a16="http://schemas.microsoft.com/office/drawing/2014/main" id="{3E7AD2F7-9ACD-433D-AF7B-F6711FFCC827}"/>
            </a:ext>
          </a:extLst>
        </xdr:cNvPr>
        <xdr:cNvSpPr/>
      </xdr:nvSpPr>
      <xdr:spPr>
        <a:xfrm rot="5400000">
          <a:off x="13519515" y="2063967"/>
          <a:ext cx="302895" cy="475377"/>
        </a:xfrm>
        <a:prstGeom prst="rightArrow">
          <a:avLst/>
        </a:prstGeom>
        <a:solidFill>
          <a:schemeClr val="tx2">
            <a:lumMod val="75000"/>
            <a:lumOff val="2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870876</xdr:colOff>
      <xdr:row>7</xdr:row>
      <xdr:rowOff>258542</xdr:rowOff>
    </xdr:from>
    <xdr:to>
      <xdr:col>5</xdr:col>
      <xdr:colOff>1334824</xdr:colOff>
      <xdr:row>9</xdr:row>
      <xdr:rowOff>24227</xdr:rowOff>
    </xdr:to>
    <xdr:sp macro="" textlink="">
      <xdr:nvSpPr>
        <xdr:cNvPr id="3" name="Arrow: Right 2">
          <a:extLst>
            <a:ext uri="{FF2B5EF4-FFF2-40B4-BE49-F238E27FC236}">
              <a16:creationId xmlns:a16="http://schemas.microsoft.com/office/drawing/2014/main" id="{4F5E5B59-1478-402E-9E14-FC504223DDD0}"/>
            </a:ext>
          </a:extLst>
        </xdr:cNvPr>
        <xdr:cNvSpPr/>
      </xdr:nvSpPr>
      <xdr:spPr>
        <a:xfrm rot="5400000">
          <a:off x="11034567" y="2065871"/>
          <a:ext cx="299085" cy="463948"/>
        </a:xfrm>
        <a:prstGeom prst="rightArrow">
          <a:avLst/>
        </a:prstGeom>
        <a:solidFill>
          <a:schemeClr val="tx2">
            <a:lumMod val="75000"/>
            <a:lumOff val="2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264795</xdr:colOff>
      <xdr:row>4</xdr:row>
      <xdr:rowOff>135254</xdr:rowOff>
    </xdr:from>
    <xdr:to>
      <xdr:col>6</xdr:col>
      <xdr:colOff>2391337</xdr:colOff>
      <xdr:row>5</xdr:row>
      <xdr:rowOff>267798</xdr:rowOff>
    </xdr:to>
    <xdr:sp macro="" textlink="">
      <xdr:nvSpPr>
        <xdr:cNvPr id="9" name="Rectangle: Rounded Corners 8">
          <a:extLst>
            <a:ext uri="{FF2B5EF4-FFF2-40B4-BE49-F238E27FC236}">
              <a16:creationId xmlns:a16="http://schemas.microsoft.com/office/drawing/2014/main" id="{C89C728E-6CD7-41AE-8CE5-0D003C6C0527}"/>
            </a:ext>
          </a:extLst>
        </xdr:cNvPr>
        <xdr:cNvSpPr>
          <a:spLocks/>
        </xdr:cNvSpPr>
      </xdr:nvSpPr>
      <xdr:spPr>
        <a:xfrm>
          <a:off x="12662535" y="1019174"/>
          <a:ext cx="2126542" cy="467824"/>
        </a:xfrm>
        <a:prstGeom prst="roundRect">
          <a:avLst>
            <a:gd name="adj" fmla="val 14206"/>
          </a:avLst>
        </a:prstGeom>
        <a:solidFill>
          <a:srgbClr val="C00000"/>
        </a:solidFill>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900" b="1">
              <a:solidFill>
                <a:schemeClr val="bg1"/>
              </a:solidFill>
              <a:latin typeface="+mj-lt"/>
            </a:rPr>
            <a:t>Note: Only High and Medium impact</a:t>
          </a:r>
          <a:r>
            <a:rPr lang="en-US" sz="900" b="1" baseline="0">
              <a:solidFill>
                <a:schemeClr val="bg1"/>
              </a:solidFill>
              <a:latin typeface="+mj-lt"/>
            </a:rPr>
            <a:t> recommendations are considered.</a:t>
          </a:r>
          <a:endParaRPr lang="en-US" sz="900" b="1">
            <a:solidFill>
              <a:schemeClr val="bg1"/>
            </a:solidFill>
            <a:latin typeface="+mj-lt"/>
          </a:endParaRPr>
        </a:p>
      </xdr:txBody>
    </xdr:sp>
    <xdr:clientData/>
  </xdr:twoCellAnchor>
  <xdr:twoCellAnchor>
    <xdr:from>
      <xdr:col>1</xdr:col>
      <xdr:colOff>816292</xdr:colOff>
      <xdr:row>3</xdr:row>
      <xdr:rowOff>304800</xdr:rowOff>
    </xdr:from>
    <xdr:to>
      <xdr:col>1</xdr:col>
      <xdr:colOff>2676523</xdr:colOff>
      <xdr:row>7</xdr:row>
      <xdr:rowOff>93344</xdr:rowOff>
    </xdr:to>
    <xdr:sp macro="" textlink="">
      <xdr:nvSpPr>
        <xdr:cNvPr id="16" name="Rectangle: Rounded Corners 15">
          <a:extLst>
            <a:ext uri="{FF2B5EF4-FFF2-40B4-BE49-F238E27FC236}">
              <a16:creationId xmlns:a16="http://schemas.microsoft.com/office/drawing/2014/main" id="{0E7256B5-1063-4445-9A95-E5615BEFBE58}"/>
            </a:ext>
          </a:extLst>
        </xdr:cNvPr>
        <xdr:cNvSpPr>
          <a:spLocks/>
        </xdr:cNvSpPr>
      </xdr:nvSpPr>
      <xdr:spPr>
        <a:xfrm>
          <a:off x="2736532" y="853440"/>
          <a:ext cx="1860231" cy="1129664"/>
        </a:xfrm>
        <a:prstGeom prst="roundRect">
          <a:avLst>
            <a:gd name="adj" fmla="val 0"/>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endParaRPr lang="en-US" sz="1800" b="1">
            <a:solidFill>
              <a:schemeClr val="bg1"/>
            </a:solidFill>
            <a:latin typeface="+mj-lt"/>
          </a:endParaRPr>
        </a:p>
      </xdr:txBody>
    </xdr:sp>
    <xdr:clientData/>
  </xdr:twoCellAnchor>
  <xdr:twoCellAnchor>
    <xdr:from>
      <xdr:col>1</xdr:col>
      <xdr:colOff>923925</xdr:colOff>
      <xdr:row>6</xdr:row>
      <xdr:rowOff>69320</xdr:rowOff>
    </xdr:from>
    <xdr:to>
      <xdr:col>1</xdr:col>
      <xdr:colOff>1659844</xdr:colOff>
      <xdr:row>6</xdr:row>
      <xdr:rowOff>327534</xdr:rowOff>
    </xdr:to>
    <xdr:sp macro="" textlink="">
      <xdr:nvSpPr>
        <xdr:cNvPr id="17" name="Rectangle: Rounded Corners 16">
          <a:extLst>
            <a:ext uri="{FF2B5EF4-FFF2-40B4-BE49-F238E27FC236}">
              <a16:creationId xmlns:a16="http://schemas.microsoft.com/office/drawing/2014/main" id="{92A4514D-0C66-4343-90AD-45352E9795AD}"/>
            </a:ext>
          </a:extLst>
        </xdr:cNvPr>
        <xdr:cNvSpPr>
          <a:spLocks/>
        </xdr:cNvSpPr>
      </xdr:nvSpPr>
      <xdr:spPr>
        <a:xfrm>
          <a:off x="2844165" y="1623800"/>
          <a:ext cx="735919" cy="258214"/>
        </a:xfrm>
        <a:prstGeom prst="roundRect">
          <a:avLst>
            <a:gd name="adj" fmla="val 14206"/>
          </a:avLst>
        </a:prstGeom>
        <a:solidFill>
          <a:srgbClr val="A4262C"/>
        </a:solidFill>
        <a:ln>
          <a:noFill/>
        </a:ln>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800" b="1">
              <a:solidFill>
                <a:schemeClr val="bg1"/>
              </a:solidFill>
              <a:latin typeface="+mj-lt"/>
            </a:rPr>
            <a:t>Pending </a:t>
          </a:r>
        </a:p>
      </xdr:txBody>
    </xdr:sp>
    <xdr:clientData/>
  </xdr:twoCellAnchor>
  <xdr:twoCellAnchor>
    <xdr:from>
      <xdr:col>1</xdr:col>
      <xdr:colOff>929640</xdr:colOff>
      <xdr:row>5</xdr:row>
      <xdr:rowOff>39554</xdr:rowOff>
    </xdr:from>
    <xdr:to>
      <xdr:col>1</xdr:col>
      <xdr:colOff>1643976</xdr:colOff>
      <xdr:row>5</xdr:row>
      <xdr:rowOff>302635</xdr:rowOff>
    </xdr:to>
    <xdr:sp macro="" textlink="">
      <xdr:nvSpPr>
        <xdr:cNvPr id="18" name="Rectangle: Rounded Corners 17">
          <a:extLst>
            <a:ext uri="{FF2B5EF4-FFF2-40B4-BE49-F238E27FC236}">
              <a16:creationId xmlns:a16="http://schemas.microsoft.com/office/drawing/2014/main" id="{35C7F805-43A8-4F78-AA38-2405C5CB6AB2}"/>
            </a:ext>
          </a:extLst>
        </xdr:cNvPr>
        <xdr:cNvSpPr>
          <a:spLocks/>
        </xdr:cNvSpPr>
      </xdr:nvSpPr>
      <xdr:spPr>
        <a:xfrm>
          <a:off x="2849880" y="1258754"/>
          <a:ext cx="714336" cy="263081"/>
        </a:xfrm>
        <a:prstGeom prst="roundRect">
          <a:avLst>
            <a:gd name="adj" fmla="val 14206"/>
          </a:avLst>
        </a:prstGeom>
        <a:solidFill>
          <a:srgbClr val="0078D4"/>
        </a:solidFill>
        <a:ln>
          <a:noFill/>
        </a:ln>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800" b="1">
              <a:solidFill>
                <a:schemeClr val="bg1"/>
              </a:solidFill>
              <a:latin typeface="+mj-lt"/>
            </a:rPr>
            <a:t>Reviewed</a:t>
          </a:r>
        </a:p>
      </xdr:txBody>
    </xdr:sp>
    <xdr:clientData/>
  </xdr:twoCellAnchor>
  <xdr:twoCellAnchor>
    <xdr:from>
      <xdr:col>1</xdr:col>
      <xdr:colOff>851399</xdr:colOff>
      <xdr:row>3</xdr:row>
      <xdr:rowOff>328863</xdr:rowOff>
    </xdr:from>
    <xdr:to>
      <xdr:col>1</xdr:col>
      <xdr:colOff>2629851</xdr:colOff>
      <xdr:row>4</xdr:row>
      <xdr:rowOff>251899</xdr:rowOff>
    </xdr:to>
    <xdr:sp macro="" textlink="">
      <xdr:nvSpPr>
        <xdr:cNvPr id="19" name="Rectangle: Rounded Corners 18">
          <a:extLst>
            <a:ext uri="{FF2B5EF4-FFF2-40B4-BE49-F238E27FC236}">
              <a16:creationId xmlns:a16="http://schemas.microsoft.com/office/drawing/2014/main" id="{F61B5AD1-7834-4C67-A790-C47489A8FB10}"/>
            </a:ext>
          </a:extLst>
        </xdr:cNvPr>
        <xdr:cNvSpPr>
          <a:spLocks/>
        </xdr:cNvSpPr>
      </xdr:nvSpPr>
      <xdr:spPr>
        <a:xfrm>
          <a:off x="2771639" y="877503"/>
          <a:ext cx="1778452" cy="258316"/>
        </a:xfrm>
        <a:prstGeom prst="roundRect">
          <a:avLst>
            <a:gd name="adj" fmla="val 14206"/>
          </a:avLst>
        </a:prstGeom>
        <a:noFill/>
        <a:ln>
          <a:noFill/>
        </a:ln>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r>
            <a:rPr lang="en-US" sz="1400" b="1">
              <a:solidFill>
                <a:schemeClr val="tx1">
                  <a:lumMod val="75000"/>
                  <a:lumOff val="25000"/>
                </a:schemeClr>
              </a:solidFill>
              <a:latin typeface="+mj-lt"/>
            </a:rPr>
            <a:t>Azure</a:t>
          </a:r>
          <a:r>
            <a:rPr lang="en-US" sz="1400" b="1" baseline="0">
              <a:solidFill>
                <a:schemeClr val="tx1">
                  <a:lumMod val="75000"/>
                  <a:lumOff val="25000"/>
                </a:schemeClr>
              </a:solidFill>
              <a:latin typeface="+mj-lt"/>
            </a:rPr>
            <a:t>-</a:t>
          </a:r>
          <a:r>
            <a:rPr lang="en-US" sz="1400" b="1">
              <a:solidFill>
                <a:schemeClr val="tx1">
                  <a:lumMod val="75000"/>
                  <a:lumOff val="25000"/>
                </a:schemeClr>
              </a:solidFill>
              <a:latin typeface="+mj-lt"/>
            </a:rPr>
            <a:t>Resources</a:t>
          </a:r>
        </a:p>
      </xdr:txBody>
    </xdr:sp>
    <xdr:clientData/>
  </xdr:twoCellAnchor>
  <xdr:twoCellAnchor>
    <xdr:from>
      <xdr:col>1</xdr:col>
      <xdr:colOff>1682749</xdr:colOff>
      <xdr:row>5</xdr:row>
      <xdr:rowOff>38123</xdr:rowOff>
    </xdr:from>
    <xdr:to>
      <xdr:col>1</xdr:col>
      <xdr:colOff>2666048</xdr:colOff>
      <xdr:row>5</xdr:row>
      <xdr:rowOff>299300</xdr:rowOff>
    </xdr:to>
    <xdr:sp macro="" textlink="$A$1">
      <xdr:nvSpPr>
        <xdr:cNvPr id="20" name="Rectangle: Rounded Corners 19">
          <a:extLst>
            <a:ext uri="{FF2B5EF4-FFF2-40B4-BE49-F238E27FC236}">
              <a16:creationId xmlns:a16="http://schemas.microsoft.com/office/drawing/2014/main" id="{F4C3CB14-35A3-47BB-9BF8-584FEDDFE2F8}"/>
            </a:ext>
          </a:extLst>
        </xdr:cNvPr>
        <xdr:cNvSpPr>
          <a:spLocks/>
        </xdr:cNvSpPr>
      </xdr:nvSpPr>
      <xdr:spPr>
        <a:xfrm>
          <a:off x="3602989" y="1257323"/>
          <a:ext cx="983299" cy="261177"/>
        </a:xfrm>
        <a:prstGeom prst="roundRect">
          <a:avLst>
            <a:gd name="adj" fmla="val 14206"/>
          </a:avLst>
        </a:prstGeom>
        <a:noFill/>
        <a:ln>
          <a:noFill/>
        </a:ln>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marL="0" indent="0" algn="l"/>
          <a:fld id="{A7B9FE7C-F13B-4F67-8F20-A27A38894B5C}" type="TxLink">
            <a:rPr lang="en-US" sz="2000" b="1" i="0" u="none" strike="noStrike">
              <a:solidFill>
                <a:schemeClr val="tx1">
                  <a:lumMod val="75000"/>
                  <a:lumOff val="25000"/>
                </a:schemeClr>
              </a:solidFill>
              <a:latin typeface="Aptos Display"/>
              <a:ea typeface="+mn-ea"/>
              <a:cs typeface="+mn-cs"/>
            </a:rPr>
            <a:pPr marL="0" indent="0" algn="l"/>
            <a:t>28</a:t>
          </a:fld>
          <a:endParaRPr lang="en-US" sz="2000" b="1" i="0" u="none" strike="noStrike">
            <a:solidFill>
              <a:schemeClr val="tx1">
                <a:lumMod val="75000"/>
                <a:lumOff val="25000"/>
              </a:schemeClr>
            </a:solidFill>
            <a:latin typeface="Aptos Display"/>
            <a:ea typeface="+mn-ea"/>
            <a:cs typeface="+mn-cs"/>
          </a:endParaRPr>
        </a:p>
      </xdr:txBody>
    </xdr:sp>
    <xdr:clientData/>
  </xdr:twoCellAnchor>
  <xdr:twoCellAnchor>
    <xdr:from>
      <xdr:col>1</xdr:col>
      <xdr:colOff>1683701</xdr:colOff>
      <xdr:row>6</xdr:row>
      <xdr:rowOff>68792</xdr:rowOff>
    </xdr:from>
    <xdr:to>
      <xdr:col>1</xdr:col>
      <xdr:colOff>2666047</xdr:colOff>
      <xdr:row>6</xdr:row>
      <xdr:rowOff>328062</xdr:rowOff>
    </xdr:to>
    <xdr:sp macro="" textlink="$A$2">
      <xdr:nvSpPr>
        <xdr:cNvPr id="21" name="Rectangle: Rounded Corners 20">
          <a:extLst>
            <a:ext uri="{FF2B5EF4-FFF2-40B4-BE49-F238E27FC236}">
              <a16:creationId xmlns:a16="http://schemas.microsoft.com/office/drawing/2014/main" id="{C460B6F4-52A5-4083-993A-4304FD9349D7}"/>
            </a:ext>
          </a:extLst>
        </xdr:cNvPr>
        <xdr:cNvSpPr>
          <a:spLocks/>
        </xdr:cNvSpPr>
      </xdr:nvSpPr>
      <xdr:spPr>
        <a:xfrm>
          <a:off x="3603941" y="1623272"/>
          <a:ext cx="982346" cy="259270"/>
        </a:xfrm>
        <a:prstGeom prst="roundRect">
          <a:avLst>
            <a:gd name="adj" fmla="val 14206"/>
          </a:avLst>
        </a:prstGeom>
        <a:noFill/>
        <a:ln>
          <a:noFill/>
        </a:ln>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marL="0" indent="0" algn="l"/>
          <a:fld id="{21C6A8BE-2BDB-445A-BD78-B7F93BE15D09}" type="TxLink">
            <a:rPr lang="en-US" sz="2000" b="1" i="0" u="none" strike="noStrike">
              <a:solidFill>
                <a:schemeClr val="tx1">
                  <a:lumMod val="75000"/>
                  <a:lumOff val="25000"/>
                </a:schemeClr>
              </a:solidFill>
              <a:latin typeface="Aptos Display"/>
              <a:ea typeface="+mn-ea"/>
              <a:cs typeface="+mn-cs"/>
            </a:rPr>
            <a:pPr marL="0" indent="0" algn="l"/>
            <a:t>61</a:t>
          </a:fld>
          <a:endParaRPr lang="en-US" sz="2000" b="1" i="0" u="none" strike="noStrike">
            <a:solidFill>
              <a:schemeClr val="tx1">
                <a:lumMod val="75000"/>
                <a:lumOff val="25000"/>
              </a:schemeClr>
            </a:solidFill>
            <a:latin typeface="Aptos Display"/>
            <a:ea typeface="+mn-ea"/>
            <a:cs typeface="+mn-cs"/>
          </a:endParaRPr>
        </a:p>
      </xdr:txBody>
    </xdr:sp>
    <xdr:clientData/>
  </xdr:twoCellAnchor>
  <xdr:twoCellAnchor>
    <xdr:from>
      <xdr:col>1</xdr:col>
      <xdr:colOff>2828924</xdr:colOff>
      <xdr:row>3</xdr:row>
      <xdr:rowOff>304800</xdr:rowOff>
    </xdr:from>
    <xdr:to>
      <xdr:col>2</xdr:col>
      <xdr:colOff>1424938</xdr:colOff>
      <xdr:row>7</xdr:row>
      <xdr:rowOff>97154</xdr:rowOff>
    </xdr:to>
    <xdr:sp macro="" textlink="">
      <xdr:nvSpPr>
        <xdr:cNvPr id="31" name="Rectangle: Rounded Corners 30">
          <a:extLst>
            <a:ext uri="{FF2B5EF4-FFF2-40B4-BE49-F238E27FC236}">
              <a16:creationId xmlns:a16="http://schemas.microsoft.com/office/drawing/2014/main" id="{E534992A-0E76-D965-AD27-C6A730D21F86}"/>
            </a:ext>
          </a:extLst>
        </xdr:cNvPr>
        <xdr:cNvSpPr>
          <a:spLocks/>
        </xdr:cNvSpPr>
      </xdr:nvSpPr>
      <xdr:spPr>
        <a:xfrm>
          <a:off x="4749164" y="853440"/>
          <a:ext cx="1857374" cy="1133474"/>
        </a:xfrm>
        <a:prstGeom prst="roundRect">
          <a:avLst>
            <a:gd name="adj" fmla="val 0"/>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endParaRPr lang="en-US" sz="1800" b="1">
            <a:solidFill>
              <a:schemeClr val="bg1"/>
            </a:solidFill>
            <a:latin typeface="+mj-lt"/>
          </a:endParaRPr>
        </a:p>
      </xdr:txBody>
    </xdr:sp>
    <xdr:clientData/>
  </xdr:twoCellAnchor>
  <xdr:twoCellAnchor>
    <xdr:from>
      <xdr:col>1</xdr:col>
      <xdr:colOff>2864031</xdr:colOff>
      <xdr:row>3</xdr:row>
      <xdr:rowOff>327910</xdr:rowOff>
    </xdr:from>
    <xdr:to>
      <xdr:col>2</xdr:col>
      <xdr:colOff>1380171</xdr:colOff>
      <xdr:row>4</xdr:row>
      <xdr:rowOff>250946</xdr:rowOff>
    </xdr:to>
    <xdr:sp macro="" textlink="">
      <xdr:nvSpPr>
        <xdr:cNvPr id="34" name="Rectangle: Rounded Corners 33">
          <a:extLst>
            <a:ext uri="{FF2B5EF4-FFF2-40B4-BE49-F238E27FC236}">
              <a16:creationId xmlns:a16="http://schemas.microsoft.com/office/drawing/2014/main" id="{DB54BD5A-5930-F550-B75D-FEB9CE1E682F}"/>
            </a:ext>
          </a:extLst>
        </xdr:cNvPr>
        <xdr:cNvSpPr>
          <a:spLocks/>
        </xdr:cNvSpPr>
      </xdr:nvSpPr>
      <xdr:spPr>
        <a:xfrm>
          <a:off x="4784271" y="876550"/>
          <a:ext cx="1777500" cy="258316"/>
        </a:xfrm>
        <a:prstGeom prst="roundRect">
          <a:avLst>
            <a:gd name="adj" fmla="val 14206"/>
          </a:avLst>
        </a:prstGeom>
        <a:noFill/>
        <a:ln>
          <a:noFill/>
        </a:ln>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r>
            <a:rPr lang="en-US" sz="1400" b="1">
              <a:solidFill>
                <a:schemeClr val="tx1">
                  <a:lumMod val="75000"/>
                  <a:lumOff val="25000"/>
                </a:schemeClr>
              </a:solidFill>
              <a:latin typeface="+mj-lt"/>
            </a:rPr>
            <a:t>Platform-Issues</a:t>
          </a:r>
        </a:p>
      </xdr:txBody>
    </xdr:sp>
    <xdr:clientData/>
  </xdr:twoCellAnchor>
  <xdr:twoCellAnchor>
    <xdr:from>
      <xdr:col>2</xdr:col>
      <xdr:colOff>674051</xdr:colOff>
      <xdr:row>5</xdr:row>
      <xdr:rowOff>38123</xdr:rowOff>
    </xdr:from>
    <xdr:to>
      <xdr:col>2</xdr:col>
      <xdr:colOff>1390650</xdr:colOff>
      <xdr:row>5</xdr:row>
      <xdr:rowOff>296442</xdr:rowOff>
    </xdr:to>
    <xdr:sp macro="" textlink="$A$3">
      <xdr:nvSpPr>
        <xdr:cNvPr id="35" name="Rectangle: Rounded Corners 34">
          <a:extLst>
            <a:ext uri="{FF2B5EF4-FFF2-40B4-BE49-F238E27FC236}">
              <a16:creationId xmlns:a16="http://schemas.microsoft.com/office/drawing/2014/main" id="{AF535B9B-1A22-E892-A292-2388F3675695}"/>
            </a:ext>
          </a:extLst>
        </xdr:cNvPr>
        <xdr:cNvSpPr>
          <a:spLocks/>
        </xdr:cNvSpPr>
      </xdr:nvSpPr>
      <xdr:spPr>
        <a:xfrm>
          <a:off x="5503226" y="1266848"/>
          <a:ext cx="716599" cy="258319"/>
        </a:xfrm>
        <a:prstGeom prst="roundRect">
          <a:avLst>
            <a:gd name="adj" fmla="val 14206"/>
          </a:avLst>
        </a:prstGeom>
        <a:noFill/>
        <a:ln>
          <a:noFill/>
        </a:ln>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marL="0" indent="0" algn="l"/>
          <a:fld id="{E330C2DC-0798-4BAD-A6AD-2334B969A32B}" type="TxLink">
            <a:rPr lang="en-US" sz="2000" b="1" i="0" u="none" strike="noStrike">
              <a:solidFill>
                <a:schemeClr val="tx1">
                  <a:lumMod val="75000"/>
                  <a:lumOff val="25000"/>
                </a:schemeClr>
              </a:solidFill>
              <a:latin typeface="Aptos Display"/>
              <a:ea typeface="+mn-ea"/>
              <a:cs typeface="+mn-cs"/>
            </a:rPr>
            <a:pPr marL="0" indent="0" algn="l"/>
            <a:t>0</a:t>
          </a:fld>
          <a:endParaRPr lang="en-US" sz="2000" b="1" i="0" u="none" strike="noStrike">
            <a:solidFill>
              <a:schemeClr val="tx1">
                <a:lumMod val="75000"/>
                <a:lumOff val="25000"/>
              </a:schemeClr>
            </a:solidFill>
            <a:latin typeface="Aptos Display"/>
            <a:ea typeface="+mn-ea"/>
            <a:cs typeface="+mn-cs"/>
          </a:endParaRPr>
        </a:p>
      </xdr:txBody>
    </xdr:sp>
    <xdr:clientData/>
  </xdr:twoCellAnchor>
  <xdr:twoCellAnchor>
    <xdr:from>
      <xdr:col>2</xdr:col>
      <xdr:colOff>670242</xdr:colOff>
      <xdr:row>6</xdr:row>
      <xdr:rowOff>70697</xdr:rowOff>
    </xdr:from>
    <xdr:to>
      <xdr:col>2</xdr:col>
      <xdr:colOff>1381126</xdr:colOff>
      <xdr:row>6</xdr:row>
      <xdr:rowOff>327109</xdr:rowOff>
    </xdr:to>
    <xdr:sp macro="" textlink="$A$4">
      <xdr:nvSpPr>
        <xdr:cNvPr id="36" name="Rectangle: Rounded Corners 35">
          <a:extLst>
            <a:ext uri="{FF2B5EF4-FFF2-40B4-BE49-F238E27FC236}">
              <a16:creationId xmlns:a16="http://schemas.microsoft.com/office/drawing/2014/main" id="{CCA1BA68-FEDF-B0C2-AAC7-5348166AD405}"/>
            </a:ext>
          </a:extLst>
        </xdr:cNvPr>
        <xdr:cNvSpPr>
          <a:spLocks/>
        </xdr:cNvSpPr>
      </xdr:nvSpPr>
      <xdr:spPr>
        <a:xfrm>
          <a:off x="5499417" y="1632797"/>
          <a:ext cx="710884" cy="256412"/>
        </a:xfrm>
        <a:prstGeom prst="roundRect">
          <a:avLst>
            <a:gd name="adj" fmla="val 14206"/>
          </a:avLst>
        </a:prstGeom>
        <a:noFill/>
        <a:ln>
          <a:noFill/>
        </a:ln>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marL="0" indent="0" algn="l"/>
          <a:fld id="{B635D859-B53C-4748-9972-53614A15430B}" type="TxLink">
            <a:rPr lang="en-US" sz="2000" b="1" i="0" u="none" strike="noStrike">
              <a:solidFill>
                <a:schemeClr val="tx1">
                  <a:lumMod val="75000"/>
                  <a:lumOff val="25000"/>
                </a:schemeClr>
              </a:solidFill>
              <a:latin typeface="Aptos Display"/>
              <a:ea typeface="+mn-ea"/>
              <a:cs typeface="+mn-cs"/>
            </a:rPr>
            <a:pPr marL="0" indent="0" algn="l"/>
            <a:t>1</a:t>
          </a:fld>
          <a:endParaRPr lang="en-US" sz="2000" b="1" i="0" u="none" strike="noStrike">
            <a:solidFill>
              <a:schemeClr val="tx1">
                <a:lumMod val="75000"/>
                <a:lumOff val="25000"/>
              </a:schemeClr>
            </a:solidFill>
            <a:latin typeface="Aptos Display"/>
            <a:ea typeface="+mn-ea"/>
            <a:cs typeface="+mn-cs"/>
          </a:endParaRPr>
        </a:p>
      </xdr:txBody>
    </xdr:sp>
    <xdr:clientData/>
  </xdr:twoCellAnchor>
  <xdr:twoCellAnchor>
    <xdr:from>
      <xdr:col>2</xdr:col>
      <xdr:colOff>1562099</xdr:colOff>
      <xdr:row>3</xdr:row>
      <xdr:rowOff>304800</xdr:rowOff>
    </xdr:from>
    <xdr:to>
      <xdr:col>4</xdr:col>
      <xdr:colOff>260030</xdr:colOff>
      <xdr:row>7</xdr:row>
      <xdr:rowOff>100964</xdr:rowOff>
    </xdr:to>
    <xdr:sp macro="" textlink="">
      <xdr:nvSpPr>
        <xdr:cNvPr id="53" name="Rectangle: Rounded Corners 52">
          <a:extLst>
            <a:ext uri="{FF2B5EF4-FFF2-40B4-BE49-F238E27FC236}">
              <a16:creationId xmlns:a16="http://schemas.microsoft.com/office/drawing/2014/main" id="{38859E6F-5369-AFCD-4969-857512E03B03}"/>
            </a:ext>
          </a:extLst>
        </xdr:cNvPr>
        <xdr:cNvSpPr>
          <a:spLocks/>
        </xdr:cNvSpPr>
      </xdr:nvSpPr>
      <xdr:spPr>
        <a:xfrm>
          <a:off x="6743699" y="853440"/>
          <a:ext cx="1860231" cy="1137284"/>
        </a:xfrm>
        <a:prstGeom prst="roundRect">
          <a:avLst>
            <a:gd name="adj" fmla="val 0"/>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endParaRPr lang="en-US" sz="1800" b="1">
            <a:solidFill>
              <a:schemeClr val="bg1"/>
            </a:solidFill>
            <a:latin typeface="+mj-lt"/>
          </a:endParaRPr>
        </a:p>
      </xdr:txBody>
    </xdr:sp>
    <xdr:clientData/>
  </xdr:twoCellAnchor>
  <xdr:twoCellAnchor>
    <xdr:from>
      <xdr:col>3</xdr:col>
      <xdr:colOff>22860</xdr:colOff>
      <xdr:row>6</xdr:row>
      <xdr:rowOff>68367</xdr:rowOff>
    </xdr:from>
    <xdr:to>
      <xdr:col>3</xdr:col>
      <xdr:colOff>761636</xdr:colOff>
      <xdr:row>6</xdr:row>
      <xdr:rowOff>325628</xdr:rowOff>
    </xdr:to>
    <xdr:sp macro="" textlink="">
      <xdr:nvSpPr>
        <xdr:cNvPr id="54" name="Rectangle: Rounded Corners 53">
          <a:extLst>
            <a:ext uri="{FF2B5EF4-FFF2-40B4-BE49-F238E27FC236}">
              <a16:creationId xmlns:a16="http://schemas.microsoft.com/office/drawing/2014/main" id="{A2AFB46B-7089-1801-009F-E3CD09C2041A}"/>
            </a:ext>
          </a:extLst>
        </xdr:cNvPr>
        <xdr:cNvSpPr>
          <a:spLocks/>
        </xdr:cNvSpPr>
      </xdr:nvSpPr>
      <xdr:spPr>
        <a:xfrm>
          <a:off x="6850380" y="1622847"/>
          <a:ext cx="738776" cy="257261"/>
        </a:xfrm>
        <a:prstGeom prst="roundRect">
          <a:avLst>
            <a:gd name="adj" fmla="val 14206"/>
          </a:avLst>
        </a:prstGeom>
        <a:solidFill>
          <a:srgbClr val="A4262C"/>
        </a:solidFill>
        <a:ln>
          <a:noFill/>
        </a:ln>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800" b="1">
              <a:solidFill>
                <a:schemeClr val="bg1"/>
              </a:solidFill>
              <a:latin typeface="+mj-lt"/>
            </a:rPr>
            <a:t>Pending </a:t>
          </a:r>
        </a:p>
      </xdr:txBody>
    </xdr:sp>
    <xdr:clientData/>
  </xdr:twoCellAnchor>
  <xdr:twoCellAnchor>
    <xdr:from>
      <xdr:col>3</xdr:col>
      <xdr:colOff>29527</xdr:colOff>
      <xdr:row>5</xdr:row>
      <xdr:rowOff>39554</xdr:rowOff>
    </xdr:from>
    <xdr:to>
      <xdr:col>3</xdr:col>
      <xdr:colOff>748625</xdr:colOff>
      <xdr:row>5</xdr:row>
      <xdr:rowOff>302635</xdr:rowOff>
    </xdr:to>
    <xdr:sp macro="" textlink="">
      <xdr:nvSpPr>
        <xdr:cNvPr id="55" name="Rectangle: Rounded Corners 54">
          <a:extLst>
            <a:ext uri="{FF2B5EF4-FFF2-40B4-BE49-F238E27FC236}">
              <a16:creationId xmlns:a16="http://schemas.microsoft.com/office/drawing/2014/main" id="{A1714065-8E9E-D09D-765E-C536967F7C28}"/>
            </a:ext>
          </a:extLst>
        </xdr:cNvPr>
        <xdr:cNvSpPr>
          <a:spLocks/>
        </xdr:cNvSpPr>
      </xdr:nvSpPr>
      <xdr:spPr>
        <a:xfrm>
          <a:off x="6857047" y="1258754"/>
          <a:ext cx="719098" cy="263081"/>
        </a:xfrm>
        <a:prstGeom prst="roundRect">
          <a:avLst>
            <a:gd name="adj" fmla="val 14206"/>
          </a:avLst>
        </a:prstGeom>
        <a:solidFill>
          <a:srgbClr val="0078D4"/>
        </a:solidFill>
        <a:ln>
          <a:noFill/>
        </a:ln>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800" b="1">
              <a:solidFill>
                <a:schemeClr val="bg1"/>
              </a:solidFill>
              <a:latin typeface="+mj-lt"/>
            </a:rPr>
            <a:t>Reviewed</a:t>
          </a:r>
        </a:p>
      </xdr:txBody>
    </xdr:sp>
    <xdr:clientData/>
  </xdr:twoCellAnchor>
  <xdr:twoCellAnchor>
    <xdr:from>
      <xdr:col>2</xdr:col>
      <xdr:colOff>1601968</xdr:colOff>
      <xdr:row>3</xdr:row>
      <xdr:rowOff>326957</xdr:rowOff>
    </xdr:from>
    <xdr:to>
      <xdr:col>4</xdr:col>
      <xdr:colOff>212406</xdr:colOff>
      <xdr:row>4</xdr:row>
      <xdr:rowOff>249993</xdr:rowOff>
    </xdr:to>
    <xdr:sp macro="" textlink="">
      <xdr:nvSpPr>
        <xdr:cNvPr id="56" name="Rectangle: Rounded Corners 55">
          <a:extLst>
            <a:ext uri="{FF2B5EF4-FFF2-40B4-BE49-F238E27FC236}">
              <a16:creationId xmlns:a16="http://schemas.microsoft.com/office/drawing/2014/main" id="{EAD3529D-F881-54BC-19CA-789CF65D7567}"/>
            </a:ext>
          </a:extLst>
        </xdr:cNvPr>
        <xdr:cNvSpPr>
          <a:spLocks/>
        </xdr:cNvSpPr>
      </xdr:nvSpPr>
      <xdr:spPr>
        <a:xfrm>
          <a:off x="6783568" y="875597"/>
          <a:ext cx="1772738" cy="258316"/>
        </a:xfrm>
        <a:prstGeom prst="roundRect">
          <a:avLst>
            <a:gd name="adj" fmla="val 14206"/>
          </a:avLst>
        </a:prstGeom>
        <a:noFill/>
        <a:ln>
          <a:noFill/>
        </a:ln>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r>
            <a:rPr lang="en-US" sz="1400" b="1">
              <a:solidFill>
                <a:schemeClr val="tx1">
                  <a:lumMod val="75000"/>
                  <a:lumOff val="25000"/>
                </a:schemeClr>
              </a:solidFill>
              <a:latin typeface="+mj-lt"/>
            </a:rPr>
            <a:t>Support-Requests</a:t>
          </a:r>
        </a:p>
      </xdr:txBody>
    </xdr:sp>
    <xdr:clientData/>
  </xdr:twoCellAnchor>
  <xdr:twoCellAnchor>
    <xdr:from>
      <xdr:col>3</xdr:col>
      <xdr:colOff>790256</xdr:colOff>
      <xdr:row>5</xdr:row>
      <xdr:rowOff>38123</xdr:rowOff>
    </xdr:from>
    <xdr:to>
      <xdr:col>4</xdr:col>
      <xdr:colOff>253365</xdr:colOff>
      <xdr:row>5</xdr:row>
      <xdr:rowOff>298347</xdr:rowOff>
    </xdr:to>
    <xdr:sp macro="" textlink="$A$5">
      <xdr:nvSpPr>
        <xdr:cNvPr id="57" name="Rectangle: Rounded Corners 56">
          <a:extLst>
            <a:ext uri="{FF2B5EF4-FFF2-40B4-BE49-F238E27FC236}">
              <a16:creationId xmlns:a16="http://schemas.microsoft.com/office/drawing/2014/main" id="{F8D0B6A4-829A-982F-76CD-DEA241EBB4D0}"/>
            </a:ext>
          </a:extLst>
        </xdr:cNvPr>
        <xdr:cNvSpPr>
          <a:spLocks/>
        </xdr:cNvSpPr>
      </xdr:nvSpPr>
      <xdr:spPr>
        <a:xfrm>
          <a:off x="7617776" y="1257323"/>
          <a:ext cx="979489" cy="260224"/>
        </a:xfrm>
        <a:prstGeom prst="roundRect">
          <a:avLst>
            <a:gd name="adj" fmla="val 14206"/>
          </a:avLst>
        </a:prstGeom>
        <a:noFill/>
        <a:ln>
          <a:noFill/>
        </a:ln>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marL="0" indent="0" algn="l"/>
          <a:fld id="{24647406-F143-4D55-A7D0-6F8FA42CD5DB}" type="TxLink">
            <a:rPr lang="en-US" sz="2000" b="1" i="0" u="none" strike="noStrike">
              <a:solidFill>
                <a:schemeClr val="tx1">
                  <a:lumMod val="75000"/>
                  <a:lumOff val="25000"/>
                </a:schemeClr>
              </a:solidFill>
              <a:latin typeface="Aptos Display"/>
              <a:ea typeface="+mn-ea"/>
              <a:cs typeface="+mn-cs"/>
            </a:rPr>
            <a:pPr marL="0" indent="0" algn="l"/>
            <a:t>0</a:t>
          </a:fld>
          <a:endParaRPr lang="en-US" sz="2000" b="1" i="0" u="none" strike="noStrike">
            <a:solidFill>
              <a:schemeClr val="tx1">
                <a:lumMod val="75000"/>
                <a:lumOff val="25000"/>
              </a:schemeClr>
            </a:solidFill>
            <a:latin typeface="Aptos Display"/>
            <a:ea typeface="+mn-ea"/>
            <a:cs typeface="+mn-cs"/>
          </a:endParaRPr>
        </a:p>
      </xdr:txBody>
    </xdr:sp>
    <xdr:clientData/>
  </xdr:twoCellAnchor>
  <xdr:twoCellAnchor>
    <xdr:from>
      <xdr:col>3</xdr:col>
      <xdr:colOff>783588</xdr:colOff>
      <xdr:row>6</xdr:row>
      <xdr:rowOff>67839</xdr:rowOff>
    </xdr:from>
    <xdr:to>
      <xdr:col>4</xdr:col>
      <xdr:colOff>253364</xdr:colOff>
      <xdr:row>6</xdr:row>
      <xdr:rowOff>326156</xdr:rowOff>
    </xdr:to>
    <xdr:sp macro="" textlink="$A$6">
      <xdr:nvSpPr>
        <xdr:cNvPr id="58" name="Rectangle: Rounded Corners 57">
          <a:extLst>
            <a:ext uri="{FF2B5EF4-FFF2-40B4-BE49-F238E27FC236}">
              <a16:creationId xmlns:a16="http://schemas.microsoft.com/office/drawing/2014/main" id="{B66AF48E-67DB-2C10-BA6E-686BCABC0921}"/>
            </a:ext>
          </a:extLst>
        </xdr:cNvPr>
        <xdr:cNvSpPr>
          <a:spLocks/>
        </xdr:cNvSpPr>
      </xdr:nvSpPr>
      <xdr:spPr>
        <a:xfrm>
          <a:off x="7611108" y="1622319"/>
          <a:ext cx="986156" cy="258317"/>
        </a:xfrm>
        <a:prstGeom prst="roundRect">
          <a:avLst>
            <a:gd name="adj" fmla="val 14206"/>
          </a:avLst>
        </a:prstGeom>
        <a:noFill/>
        <a:ln>
          <a:noFill/>
        </a:ln>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marL="0" indent="0" algn="l"/>
          <a:fld id="{B47847AE-95D9-4F89-A53B-DF560FBFF6B2}" type="TxLink">
            <a:rPr lang="en-US" sz="2000" b="1" i="0" u="none" strike="noStrike">
              <a:solidFill>
                <a:schemeClr val="tx1">
                  <a:lumMod val="75000"/>
                  <a:lumOff val="25000"/>
                </a:schemeClr>
              </a:solidFill>
              <a:latin typeface="Aptos Display"/>
              <a:ea typeface="+mn-ea"/>
              <a:cs typeface="+mn-cs"/>
            </a:rPr>
            <a:pPr marL="0" indent="0" algn="l"/>
            <a:t>1</a:t>
          </a:fld>
          <a:endParaRPr lang="en-US" sz="2000" b="1" i="0" u="none" strike="noStrike">
            <a:solidFill>
              <a:schemeClr val="tx1">
                <a:lumMod val="75000"/>
                <a:lumOff val="25000"/>
              </a:schemeClr>
            </a:solidFill>
            <a:latin typeface="Aptos Display"/>
            <a:ea typeface="+mn-ea"/>
            <a:cs typeface="+mn-cs"/>
          </a:endParaRPr>
        </a:p>
      </xdr:txBody>
    </xdr:sp>
    <xdr:clientData/>
  </xdr:twoCellAnchor>
  <xdr:twoCellAnchor>
    <xdr:from>
      <xdr:col>1</xdr:col>
      <xdr:colOff>2973705</xdr:colOff>
      <xdr:row>6</xdr:row>
      <xdr:rowOff>58842</xdr:rowOff>
    </xdr:from>
    <xdr:to>
      <xdr:col>2</xdr:col>
      <xdr:colOff>674006</xdr:colOff>
      <xdr:row>6</xdr:row>
      <xdr:rowOff>316103</xdr:rowOff>
    </xdr:to>
    <xdr:sp macro="" textlink="">
      <xdr:nvSpPr>
        <xdr:cNvPr id="5" name="Rectangle: Rounded Corners 4">
          <a:extLst>
            <a:ext uri="{FF2B5EF4-FFF2-40B4-BE49-F238E27FC236}">
              <a16:creationId xmlns:a16="http://schemas.microsoft.com/office/drawing/2014/main" id="{1B0A70EE-C956-4358-9E0A-75D7335453A4}"/>
            </a:ext>
          </a:extLst>
        </xdr:cNvPr>
        <xdr:cNvSpPr>
          <a:spLocks/>
        </xdr:cNvSpPr>
      </xdr:nvSpPr>
      <xdr:spPr>
        <a:xfrm>
          <a:off x="4764405" y="1620942"/>
          <a:ext cx="738776" cy="257261"/>
        </a:xfrm>
        <a:prstGeom prst="roundRect">
          <a:avLst>
            <a:gd name="adj" fmla="val 14206"/>
          </a:avLst>
        </a:prstGeom>
        <a:solidFill>
          <a:srgbClr val="A4262C"/>
        </a:solidFill>
        <a:ln>
          <a:noFill/>
        </a:ln>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800" b="1">
              <a:solidFill>
                <a:schemeClr val="bg1"/>
              </a:solidFill>
              <a:latin typeface="+mj-lt"/>
            </a:rPr>
            <a:t>Pending </a:t>
          </a:r>
        </a:p>
      </xdr:txBody>
    </xdr:sp>
    <xdr:clientData/>
  </xdr:twoCellAnchor>
  <xdr:twoCellAnchor>
    <xdr:from>
      <xdr:col>1</xdr:col>
      <xdr:colOff>2980372</xdr:colOff>
      <xdr:row>5</xdr:row>
      <xdr:rowOff>30029</xdr:rowOff>
    </xdr:from>
    <xdr:to>
      <xdr:col>2</xdr:col>
      <xdr:colOff>660995</xdr:colOff>
      <xdr:row>5</xdr:row>
      <xdr:rowOff>293110</xdr:rowOff>
    </xdr:to>
    <xdr:sp macro="" textlink="">
      <xdr:nvSpPr>
        <xdr:cNvPr id="6" name="Rectangle: Rounded Corners 5">
          <a:extLst>
            <a:ext uri="{FF2B5EF4-FFF2-40B4-BE49-F238E27FC236}">
              <a16:creationId xmlns:a16="http://schemas.microsoft.com/office/drawing/2014/main" id="{6377F680-D21A-4B9D-A64A-463334BD1485}"/>
            </a:ext>
          </a:extLst>
        </xdr:cNvPr>
        <xdr:cNvSpPr>
          <a:spLocks/>
        </xdr:cNvSpPr>
      </xdr:nvSpPr>
      <xdr:spPr>
        <a:xfrm>
          <a:off x="4771072" y="1258754"/>
          <a:ext cx="719098" cy="263081"/>
        </a:xfrm>
        <a:prstGeom prst="roundRect">
          <a:avLst>
            <a:gd name="adj" fmla="val 14206"/>
          </a:avLst>
        </a:prstGeom>
        <a:solidFill>
          <a:srgbClr val="0078D4"/>
        </a:solidFill>
        <a:ln>
          <a:noFill/>
        </a:ln>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800" b="1">
              <a:solidFill>
                <a:schemeClr val="bg1"/>
              </a:solidFill>
              <a:latin typeface="+mj-lt"/>
            </a:rPr>
            <a:t>Reviewed</a:t>
          </a:r>
        </a:p>
      </xdr:txBody>
    </xdr:sp>
    <xdr:clientData/>
  </xdr:twoCellAnchor>
  <xdr:twoCellAnchor editAs="absolute">
    <xdr:from>
      <xdr:col>0</xdr:col>
      <xdr:colOff>0</xdr:colOff>
      <xdr:row>0</xdr:row>
      <xdr:rowOff>0</xdr:rowOff>
    </xdr:from>
    <xdr:to>
      <xdr:col>5</xdr:col>
      <xdr:colOff>1913255</xdr:colOff>
      <xdr:row>2</xdr:row>
      <xdr:rowOff>93345</xdr:rowOff>
    </xdr:to>
    <xdr:grpSp>
      <xdr:nvGrpSpPr>
        <xdr:cNvPr id="7" name="Group 6">
          <a:extLst>
            <a:ext uri="{FF2B5EF4-FFF2-40B4-BE49-F238E27FC236}">
              <a16:creationId xmlns:a16="http://schemas.microsoft.com/office/drawing/2014/main" id="{1A41E749-F825-4ABD-9A19-62EA6B85F744}"/>
            </a:ext>
          </a:extLst>
        </xdr:cNvPr>
        <xdr:cNvGrpSpPr/>
      </xdr:nvGrpSpPr>
      <xdr:grpSpPr>
        <a:xfrm>
          <a:off x="0" y="0"/>
          <a:ext cx="11781155" cy="455295"/>
          <a:chOff x="0" y="0"/>
          <a:chExt cx="12070080" cy="459104"/>
        </a:xfrm>
      </xdr:grpSpPr>
      <xdr:sp macro="" textlink="">
        <xdr:nvSpPr>
          <xdr:cNvPr id="8" name="Rectangle 7">
            <a:extLst>
              <a:ext uri="{FF2B5EF4-FFF2-40B4-BE49-F238E27FC236}">
                <a16:creationId xmlns:a16="http://schemas.microsoft.com/office/drawing/2014/main" id="{0386B928-7A31-EB83-E1FB-7FC5643A57B0}"/>
              </a:ext>
            </a:extLst>
          </xdr:cNvPr>
          <xdr:cNvSpPr/>
        </xdr:nvSpPr>
        <xdr:spPr>
          <a:xfrm>
            <a:off x="0" y="0"/>
            <a:ext cx="12070080" cy="459104"/>
          </a:xfrm>
          <a:prstGeom prst="rect">
            <a:avLst/>
          </a:prstGeom>
          <a:solidFill>
            <a:schemeClr val="tx1">
              <a:lumMod val="75000"/>
              <a:lumOff val="2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sp macro="" textlink="">
        <xdr:nvSpPr>
          <xdr:cNvPr id="10" name="Rectangle: Rounded Corners 9">
            <a:hlinkClick xmlns:r="http://schemas.openxmlformats.org/officeDocument/2006/relationships" r:id="rId1"/>
            <a:extLst>
              <a:ext uri="{FF2B5EF4-FFF2-40B4-BE49-F238E27FC236}">
                <a16:creationId xmlns:a16="http://schemas.microsoft.com/office/drawing/2014/main" id="{05598E11-5D14-E716-8742-D99A7B5184B0}"/>
              </a:ext>
            </a:extLst>
          </xdr:cNvPr>
          <xdr:cNvSpPr>
            <a:spLocks/>
          </xdr:cNvSpPr>
        </xdr:nvSpPr>
        <xdr:spPr>
          <a:xfrm>
            <a:off x="0" y="78113"/>
            <a:ext cx="1357213" cy="279895"/>
          </a:xfrm>
          <a:prstGeom prst="roundRect">
            <a:avLst/>
          </a:prstGeom>
          <a:solidFill>
            <a:schemeClr val="tx1">
              <a:lumMod val="75000"/>
              <a:lumOff val="25000"/>
            </a:schemeClr>
          </a:solidFill>
          <a:ln>
            <a:noFill/>
          </a:ln>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400" b="1">
                <a:solidFill>
                  <a:schemeClr val="bg1"/>
                </a:solidFill>
                <a:latin typeface="+mn-lt"/>
              </a:rPr>
              <a:t>Introduction</a:t>
            </a:r>
          </a:p>
        </xdr:txBody>
      </xdr:sp>
      <xdr:sp macro="" textlink="">
        <xdr:nvSpPr>
          <xdr:cNvPr id="11" name="Rectangle: Rounded Corners 10">
            <a:hlinkClick xmlns:r="http://schemas.openxmlformats.org/officeDocument/2006/relationships" r:id="rId2"/>
            <a:extLst>
              <a:ext uri="{FF2B5EF4-FFF2-40B4-BE49-F238E27FC236}">
                <a16:creationId xmlns:a16="http://schemas.microsoft.com/office/drawing/2014/main" id="{58C6A113-F3A1-7230-5A94-EAB8A2950288}"/>
              </a:ext>
            </a:extLst>
          </xdr:cNvPr>
          <xdr:cNvSpPr>
            <a:spLocks/>
          </xdr:cNvSpPr>
        </xdr:nvSpPr>
        <xdr:spPr>
          <a:xfrm>
            <a:off x="3262077" y="85705"/>
            <a:ext cx="1587385" cy="272219"/>
          </a:xfrm>
          <a:prstGeom prst="roundRect">
            <a:avLst/>
          </a:prstGeom>
          <a:solidFill>
            <a:schemeClr val="tx1">
              <a:lumMod val="75000"/>
              <a:lumOff val="25000"/>
            </a:schemeClr>
          </a:solidFill>
          <a:ln>
            <a:noFill/>
          </a:ln>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400" b="1">
                <a:solidFill>
                  <a:schemeClr val="bg1"/>
                </a:solidFill>
                <a:latin typeface="+mn-lt"/>
                <a:ea typeface="+mn-ea"/>
                <a:cs typeface="+mn-cs"/>
              </a:rPr>
              <a:t>Inventory</a:t>
            </a:r>
          </a:p>
        </xdr:txBody>
      </xdr:sp>
      <xdr:sp macro="" textlink="">
        <xdr:nvSpPr>
          <xdr:cNvPr id="12" name="Rectangle: Rounded Corners 11">
            <a:hlinkClick xmlns:r="http://schemas.openxmlformats.org/officeDocument/2006/relationships" r:id="rId3"/>
            <a:extLst>
              <a:ext uri="{FF2B5EF4-FFF2-40B4-BE49-F238E27FC236}">
                <a16:creationId xmlns:a16="http://schemas.microsoft.com/office/drawing/2014/main" id="{EED92B6A-C9A6-9D87-0ED7-4F17FD4F4084}"/>
              </a:ext>
            </a:extLst>
          </xdr:cNvPr>
          <xdr:cNvSpPr>
            <a:spLocks/>
          </xdr:cNvSpPr>
        </xdr:nvSpPr>
        <xdr:spPr>
          <a:xfrm>
            <a:off x="6619396" y="83800"/>
            <a:ext cx="2087412" cy="275155"/>
          </a:xfrm>
          <a:prstGeom prst="roundRect">
            <a:avLst/>
          </a:prstGeom>
          <a:solidFill>
            <a:schemeClr val="tx1">
              <a:lumMod val="75000"/>
              <a:lumOff val="25000"/>
            </a:schemeClr>
          </a:solidFill>
          <a:ln>
            <a:noFill/>
          </a:ln>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400" b="1">
                <a:solidFill>
                  <a:schemeClr val="bg1"/>
                </a:solidFill>
                <a:latin typeface="+mn-lt"/>
              </a:rPr>
              <a:t>Impacted Resources</a:t>
            </a:r>
          </a:p>
        </xdr:txBody>
      </xdr:sp>
      <xdr:sp macro="" textlink="">
        <xdr:nvSpPr>
          <xdr:cNvPr id="13" name="Rectangle: Rounded Corners 12">
            <a:hlinkClick xmlns:r="http://schemas.openxmlformats.org/officeDocument/2006/relationships" r:id="rId4"/>
            <a:extLst>
              <a:ext uri="{FF2B5EF4-FFF2-40B4-BE49-F238E27FC236}">
                <a16:creationId xmlns:a16="http://schemas.microsoft.com/office/drawing/2014/main" id="{AEBD1C1E-6D06-B2B8-0A16-4C8D81582A61}"/>
              </a:ext>
            </a:extLst>
          </xdr:cNvPr>
          <xdr:cNvSpPr>
            <a:spLocks/>
          </xdr:cNvSpPr>
        </xdr:nvSpPr>
        <xdr:spPr>
          <a:xfrm>
            <a:off x="8524258" y="85705"/>
            <a:ext cx="1595321" cy="273164"/>
          </a:xfrm>
          <a:prstGeom prst="roundRect">
            <a:avLst/>
          </a:prstGeom>
          <a:solidFill>
            <a:schemeClr val="tx1">
              <a:lumMod val="75000"/>
              <a:lumOff val="25000"/>
            </a:schemeClr>
          </a:solidFill>
          <a:ln>
            <a:noFill/>
          </a:ln>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400" b="1">
                <a:solidFill>
                  <a:schemeClr val="bg1"/>
                </a:solidFill>
                <a:latin typeface="+mn-lt"/>
              </a:rPr>
              <a:t>Platform Issues</a:t>
            </a:r>
          </a:p>
        </xdr:txBody>
      </xdr:sp>
      <xdr:sp macro="" textlink="">
        <xdr:nvSpPr>
          <xdr:cNvPr id="14" name="Rectangle: Rounded Corners 13">
            <a:hlinkClick xmlns:r="http://schemas.openxmlformats.org/officeDocument/2006/relationships" r:id="rId5"/>
            <a:extLst>
              <a:ext uri="{FF2B5EF4-FFF2-40B4-BE49-F238E27FC236}">
                <a16:creationId xmlns:a16="http://schemas.microsoft.com/office/drawing/2014/main" id="{FB493221-166D-B642-F5C0-3AF65C2A92E9}"/>
              </a:ext>
            </a:extLst>
          </xdr:cNvPr>
          <xdr:cNvSpPr>
            <a:spLocks/>
          </xdr:cNvSpPr>
        </xdr:nvSpPr>
        <xdr:spPr>
          <a:xfrm>
            <a:off x="10024337" y="82848"/>
            <a:ext cx="1754061" cy="273241"/>
          </a:xfrm>
          <a:prstGeom prst="roundRect">
            <a:avLst/>
          </a:prstGeom>
          <a:solidFill>
            <a:schemeClr val="tx1">
              <a:lumMod val="75000"/>
              <a:lumOff val="25000"/>
            </a:schemeClr>
          </a:solidFill>
          <a:ln>
            <a:noFill/>
          </a:ln>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400" b="1">
                <a:solidFill>
                  <a:schemeClr val="bg1"/>
                </a:solidFill>
                <a:latin typeface="+mn-lt"/>
              </a:rPr>
              <a:t>Support Requests</a:t>
            </a:r>
          </a:p>
        </xdr:txBody>
      </xdr:sp>
      <xdr:sp macro="" textlink="">
        <xdr:nvSpPr>
          <xdr:cNvPr id="15" name="Rectangle: Rounded Corners 14">
            <a:hlinkClick xmlns:r="http://schemas.openxmlformats.org/officeDocument/2006/relationships" r:id="rId6"/>
            <a:extLst>
              <a:ext uri="{FF2B5EF4-FFF2-40B4-BE49-F238E27FC236}">
                <a16:creationId xmlns:a16="http://schemas.microsoft.com/office/drawing/2014/main" id="{58FB8230-BAD8-B2F9-249F-E22CB675DADF}"/>
              </a:ext>
            </a:extLst>
          </xdr:cNvPr>
          <xdr:cNvSpPr>
            <a:spLocks/>
          </xdr:cNvSpPr>
        </xdr:nvSpPr>
        <xdr:spPr>
          <a:xfrm>
            <a:off x="1198476" y="77150"/>
            <a:ext cx="2031853" cy="288611"/>
          </a:xfrm>
          <a:prstGeom prst="roundRect">
            <a:avLst/>
          </a:prstGeom>
          <a:solidFill>
            <a:schemeClr val="tx1">
              <a:lumMod val="75000"/>
              <a:lumOff val="25000"/>
            </a:schemeClr>
          </a:solidFill>
          <a:ln>
            <a:noFill/>
          </a:ln>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400" b="1">
                <a:solidFill>
                  <a:schemeClr val="bg1"/>
                </a:solidFill>
                <a:latin typeface="+mn-lt"/>
              </a:rPr>
              <a:t>Workload Information</a:t>
            </a:r>
          </a:p>
        </xdr:txBody>
      </xdr:sp>
      <xdr:sp macro="" textlink="">
        <xdr:nvSpPr>
          <xdr:cNvPr id="22" name="Rectangle: Rounded Corners 21">
            <a:hlinkClick xmlns:r="http://schemas.openxmlformats.org/officeDocument/2006/relationships" r:id="rId7"/>
            <a:extLst>
              <a:ext uri="{FF2B5EF4-FFF2-40B4-BE49-F238E27FC236}">
                <a16:creationId xmlns:a16="http://schemas.microsoft.com/office/drawing/2014/main" id="{17F61F4E-3A34-304A-41E9-A2BA8C2BF69C}"/>
              </a:ext>
            </a:extLst>
          </xdr:cNvPr>
          <xdr:cNvSpPr>
            <a:spLocks/>
          </xdr:cNvSpPr>
        </xdr:nvSpPr>
        <xdr:spPr>
          <a:xfrm>
            <a:off x="4962020" y="83800"/>
            <a:ext cx="1796661" cy="273171"/>
          </a:xfrm>
          <a:prstGeom prst="roundRect">
            <a:avLst/>
          </a:prstGeom>
          <a:solidFill>
            <a:schemeClr val="tx1">
              <a:lumMod val="75000"/>
              <a:lumOff val="25000"/>
            </a:schemeClr>
          </a:solidFill>
          <a:ln>
            <a:noFill/>
          </a:ln>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400" b="1">
                <a:solidFill>
                  <a:schemeClr val="bg1"/>
                </a:solidFill>
                <a:latin typeface="+mn-lt"/>
              </a:rPr>
              <a:t>Analysis Planning</a:t>
            </a:r>
          </a:p>
        </xdr:txBody>
      </xdr:sp>
      <xdr:grpSp>
        <xdr:nvGrpSpPr>
          <xdr:cNvPr id="23" name="Group 22">
            <a:extLst>
              <a:ext uri="{FF2B5EF4-FFF2-40B4-BE49-F238E27FC236}">
                <a16:creationId xmlns:a16="http://schemas.microsoft.com/office/drawing/2014/main" id="{AD959240-3641-A67E-55C2-0C4525A766C5}"/>
              </a:ext>
            </a:extLst>
          </xdr:cNvPr>
          <xdr:cNvGrpSpPr/>
        </xdr:nvGrpSpPr>
        <xdr:grpSpPr>
          <a:xfrm>
            <a:off x="180973" y="358137"/>
            <a:ext cx="11395709" cy="46675"/>
            <a:chOff x="184785" y="222884"/>
            <a:chExt cx="11383327" cy="281938"/>
          </a:xfrm>
        </xdr:grpSpPr>
        <xdr:sp macro="" textlink="">
          <xdr:nvSpPr>
            <xdr:cNvPr id="27" name="Rectangle 26">
              <a:extLst>
                <a:ext uri="{FF2B5EF4-FFF2-40B4-BE49-F238E27FC236}">
                  <a16:creationId xmlns:a16="http://schemas.microsoft.com/office/drawing/2014/main" id="{160F8083-4C5E-86B9-FDD2-77D7C18E80B2}"/>
                </a:ext>
              </a:extLst>
            </xdr:cNvPr>
            <xdr:cNvSpPr/>
          </xdr:nvSpPr>
          <xdr:spPr>
            <a:xfrm>
              <a:off x="184785" y="222884"/>
              <a:ext cx="979169" cy="280987"/>
            </a:xfrm>
            <a:prstGeom prst="rect">
              <a:avLst/>
            </a:prstGeom>
            <a:solidFill>
              <a:schemeClr val="bg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sp macro="" textlink="">
          <xdr:nvSpPr>
            <xdr:cNvPr id="28" name="Rectangle 27">
              <a:extLst>
                <a:ext uri="{FF2B5EF4-FFF2-40B4-BE49-F238E27FC236}">
                  <a16:creationId xmlns:a16="http://schemas.microsoft.com/office/drawing/2014/main" id="{31B6AF6C-84F5-4D59-0267-7DCAB0E4546E}"/>
                </a:ext>
              </a:extLst>
            </xdr:cNvPr>
            <xdr:cNvSpPr/>
          </xdr:nvSpPr>
          <xdr:spPr>
            <a:xfrm>
              <a:off x="1364931" y="222884"/>
              <a:ext cx="1676400" cy="279081"/>
            </a:xfrm>
            <a:prstGeom prst="rect">
              <a:avLst/>
            </a:prstGeom>
            <a:solidFill>
              <a:schemeClr val="bg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sp macro="" textlink="">
          <xdr:nvSpPr>
            <xdr:cNvPr id="29" name="Rectangle 28">
              <a:extLst>
                <a:ext uri="{FF2B5EF4-FFF2-40B4-BE49-F238E27FC236}">
                  <a16:creationId xmlns:a16="http://schemas.microsoft.com/office/drawing/2014/main" id="{5294B64B-2F2F-119C-83D8-F60F757815E7}"/>
                </a:ext>
              </a:extLst>
            </xdr:cNvPr>
            <xdr:cNvSpPr/>
          </xdr:nvSpPr>
          <xdr:spPr>
            <a:xfrm>
              <a:off x="3301363" y="222884"/>
              <a:ext cx="1520192" cy="281938"/>
            </a:xfrm>
            <a:prstGeom prst="rect">
              <a:avLst/>
            </a:prstGeom>
            <a:solidFill>
              <a:schemeClr val="bg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sp macro="" textlink="">
          <xdr:nvSpPr>
            <xdr:cNvPr id="30" name="Rectangle 29">
              <a:extLst>
                <a:ext uri="{FF2B5EF4-FFF2-40B4-BE49-F238E27FC236}">
                  <a16:creationId xmlns:a16="http://schemas.microsoft.com/office/drawing/2014/main" id="{EFA9F183-B008-7D19-07ED-2A03FDF5F327}"/>
                </a:ext>
              </a:extLst>
            </xdr:cNvPr>
            <xdr:cNvSpPr/>
          </xdr:nvSpPr>
          <xdr:spPr>
            <a:xfrm>
              <a:off x="5181598" y="222884"/>
              <a:ext cx="1362078" cy="280032"/>
            </a:xfrm>
            <a:prstGeom prst="rect">
              <a:avLst/>
            </a:prstGeom>
            <a:solidFill>
              <a:schemeClr val="bg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sp macro="" textlink="">
          <xdr:nvSpPr>
            <xdr:cNvPr id="32" name="Rectangle 31">
              <a:extLst>
                <a:ext uri="{FF2B5EF4-FFF2-40B4-BE49-F238E27FC236}">
                  <a16:creationId xmlns:a16="http://schemas.microsoft.com/office/drawing/2014/main" id="{F0EC0303-579C-F47E-EAA3-32B3E42DBBFF}"/>
                </a:ext>
              </a:extLst>
            </xdr:cNvPr>
            <xdr:cNvSpPr/>
          </xdr:nvSpPr>
          <xdr:spPr>
            <a:xfrm>
              <a:off x="6880858" y="222884"/>
              <a:ext cx="1562102" cy="278126"/>
            </a:xfrm>
            <a:prstGeom prst="rect">
              <a:avLst/>
            </a:prstGeom>
            <a:solidFill>
              <a:schemeClr val="bg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sp macro="" textlink="">
          <xdr:nvSpPr>
            <xdr:cNvPr id="33" name="Rectangle 32">
              <a:extLst>
                <a:ext uri="{FF2B5EF4-FFF2-40B4-BE49-F238E27FC236}">
                  <a16:creationId xmlns:a16="http://schemas.microsoft.com/office/drawing/2014/main" id="{C84C030C-23B8-01B5-5F65-3BF4FA59C62E}"/>
                </a:ext>
              </a:extLst>
            </xdr:cNvPr>
            <xdr:cNvSpPr/>
          </xdr:nvSpPr>
          <xdr:spPr>
            <a:xfrm>
              <a:off x="8718230" y="222884"/>
              <a:ext cx="1189675" cy="280983"/>
            </a:xfrm>
            <a:prstGeom prst="rect">
              <a:avLst/>
            </a:prstGeom>
            <a:solidFill>
              <a:schemeClr val="bg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sp macro="" textlink="">
          <xdr:nvSpPr>
            <xdr:cNvPr id="59" name="Rectangle 58">
              <a:extLst>
                <a:ext uri="{FF2B5EF4-FFF2-40B4-BE49-F238E27FC236}">
                  <a16:creationId xmlns:a16="http://schemas.microsoft.com/office/drawing/2014/main" id="{D7F8432A-6932-EA31-609D-A0B929527173}"/>
                </a:ext>
              </a:extLst>
            </xdr:cNvPr>
            <xdr:cNvSpPr/>
          </xdr:nvSpPr>
          <xdr:spPr>
            <a:xfrm>
              <a:off x="10210797" y="222884"/>
              <a:ext cx="1357315" cy="279077"/>
            </a:xfrm>
            <a:prstGeom prst="rect">
              <a:avLst/>
            </a:prstGeom>
            <a:solidFill>
              <a:schemeClr val="bg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grpSp>
    </xdr:grpSp>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2193598</xdr:colOff>
      <xdr:row>6</xdr:row>
      <xdr:rowOff>1900</xdr:rowOff>
    </xdr:from>
    <xdr:to>
      <xdr:col>1</xdr:col>
      <xdr:colOff>1151255</xdr:colOff>
      <xdr:row>9</xdr:row>
      <xdr:rowOff>38100</xdr:rowOff>
    </xdr:to>
    <xdr:sp macro="" textlink="">
      <xdr:nvSpPr>
        <xdr:cNvPr id="18" name="Rectangle: Rounded Corners 17">
          <a:extLst>
            <a:ext uri="{FF2B5EF4-FFF2-40B4-BE49-F238E27FC236}">
              <a16:creationId xmlns:a16="http://schemas.microsoft.com/office/drawing/2014/main" id="{98D24230-A209-49CF-AB48-1EFF30C0C9F8}"/>
            </a:ext>
          </a:extLst>
        </xdr:cNvPr>
        <xdr:cNvSpPr/>
      </xdr:nvSpPr>
      <xdr:spPr>
        <a:xfrm>
          <a:off x="2193598" y="1087750"/>
          <a:ext cx="4844410" cy="580997"/>
        </a:xfrm>
        <a:prstGeom prst="roundRect">
          <a:avLst>
            <a:gd name="adj" fmla="val 11011"/>
          </a:avLst>
        </a:prstGeom>
        <a:solidFill>
          <a:schemeClr val="bg1">
            <a:lumMod val="95000"/>
          </a:schemeClr>
        </a:solidFill>
        <a:ln>
          <a:noFill/>
        </a:ln>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200" b="1" baseline="0">
              <a:solidFill>
                <a:sysClr val="windowText" lastClr="000000"/>
              </a:solidFill>
              <a:latin typeface="+mj-lt"/>
            </a:rPr>
            <a:t>REQUIRED ACTIONS: Review below the Required Actions for each resource. If the recommendation is applicable, then update the cell to "Reviewed").</a:t>
          </a:r>
          <a:endParaRPr lang="en-US" sz="1200" b="1">
            <a:solidFill>
              <a:sysClr val="windowText" lastClr="000000"/>
            </a:solidFill>
            <a:latin typeface="+mj-lt"/>
          </a:endParaRPr>
        </a:p>
      </xdr:txBody>
    </xdr:sp>
    <xdr:clientData/>
  </xdr:twoCellAnchor>
  <xdr:twoCellAnchor>
    <xdr:from>
      <xdr:col>0</xdr:col>
      <xdr:colOff>4579576</xdr:colOff>
      <xdr:row>9</xdr:row>
      <xdr:rowOff>44768</xdr:rowOff>
    </xdr:from>
    <xdr:to>
      <xdr:col>0</xdr:col>
      <xdr:colOff>5036856</xdr:colOff>
      <xdr:row>10</xdr:row>
      <xdr:rowOff>120015</xdr:rowOff>
    </xdr:to>
    <xdr:sp macro="" textlink="">
      <xdr:nvSpPr>
        <xdr:cNvPr id="22" name="Arrow: Right 21">
          <a:extLst>
            <a:ext uri="{FF2B5EF4-FFF2-40B4-BE49-F238E27FC236}">
              <a16:creationId xmlns:a16="http://schemas.microsoft.com/office/drawing/2014/main" id="{11B1F1C6-59D1-4B42-B329-90DB83EF7D7D}"/>
            </a:ext>
          </a:extLst>
        </xdr:cNvPr>
        <xdr:cNvSpPr/>
      </xdr:nvSpPr>
      <xdr:spPr>
        <a:xfrm rot="5400000">
          <a:off x="4682962" y="1587302"/>
          <a:ext cx="250507" cy="457280"/>
        </a:xfrm>
        <a:prstGeom prst="rightArrow">
          <a:avLst/>
        </a:prstGeom>
        <a:solidFill>
          <a:schemeClr val="tx2">
            <a:lumMod val="75000"/>
            <a:lumOff val="2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135253</xdr:colOff>
      <xdr:row>3</xdr:row>
      <xdr:rowOff>139063</xdr:rowOff>
    </xdr:from>
    <xdr:to>
      <xdr:col>0</xdr:col>
      <xdr:colOff>2209800</xdr:colOff>
      <xdr:row>10</xdr:row>
      <xdr:rowOff>76200</xdr:rowOff>
    </xdr:to>
    <xdr:sp macro="" textlink="">
      <xdr:nvSpPr>
        <xdr:cNvPr id="33" name="Rectangle: Rounded Corners 32">
          <a:extLst>
            <a:ext uri="{FF2B5EF4-FFF2-40B4-BE49-F238E27FC236}">
              <a16:creationId xmlns:a16="http://schemas.microsoft.com/office/drawing/2014/main" id="{0E31E6AC-E68D-4486-A42E-22E6F2E4C198}"/>
            </a:ext>
          </a:extLst>
        </xdr:cNvPr>
        <xdr:cNvSpPr/>
      </xdr:nvSpPr>
      <xdr:spPr>
        <a:xfrm>
          <a:off x="135253" y="687703"/>
          <a:ext cx="2072611" cy="1208715"/>
        </a:xfrm>
        <a:prstGeom prst="roundRect">
          <a:avLst/>
        </a:prstGeom>
        <a:solidFill>
          <a:srgbClr val="595959"/>
        </a:solidFill>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600" b="1" baseline="0">
              <a:solidFill>
                <a:schemeClr val="bg1"/>
              </a:solidFill>
              <a:latin typeface="+mj-lt"/>
            </a:rPr>
            <a:t>Impacted Resources and Recommendations</a:t>
          </a:r>
        </a:p>
      </xdr:txBody>
    </xdr:sp>
    <xdr:clientData/>
  </xdr:twoCellAnchor>
  <xdr:twoCellAnchor>
    <xdr:from>
      <xdr:col>4</xdr:col>
      <xdr:colOff>965821</xdr:colOff>
      <xdr:row>2</xdr:row>
      <xdr:rowOff>114291</xdr:rowOff>
    </xdr:from>
    <xdr:to>
      <xdr:col>9</xdr:col>
      <xdr:colOff>623884</xdr:colOff>
      <xdr:row>8</xdr:row>
      <xdr:rowOff>29517</xdr:rowOff>
    </xdr:to>
    <xdr:grpSp>
      <xdr:nvGrpSpPr>
        <xdr:cNvPr id="8" name="Group 7">
          <a:extLst>
            <a:ext uri="{FF2B5EF4-FFF2-40B4-BE49-F238E27FC236}">
              <a16:creationId xmlns:a16="http://schemas.microsoft.com/office/drawing/2014/main" id="{BAE4F6B7-826D-5B2F-80E2-DCCAC60794C7}"/>
            </a:ext>
          </a:extLst>
        </xdr:cNvPr>
        <xdr:cNvGrpSpPr/>
      </xdr:nvGrpSpPr>
      <xdr:grpSpPr>
        <a:xfrm>
          <a:off x="11451352" y="472879"/>
          <a:ext cx="5485122" cy="987816"/>
          <a:chOff x="12140557" y="380996"/>
          <a:chExt cx="5623568" cy="1007747"/>
        </a:xfrm>
      </xdr:grpSpPr>
      <xdr:sp macro="" textlink="">
        <xdr:nvSpPr>
          <xdr:cNvPr id="7" name="Rectangle: Rounded Corners 6">
            <a:extLst>
              <a:ext uri="{FF2B5EF4-FFF2-40B4-BE49-F238E27FC236}">
                <a16:creationId xmlns:a16="http://schemas.microsoft.com/office/drawing/2014/main" id="{7281EC6A-03AC-8562-A892-42DCFEEE901F}"/>
              </a:ext>
            </a:extLst>
          </xdr:cNvPr>
          <xdr:cNvSpPr>
            <a:spLocks/>
          </xdr:cNvSpPr>
        </xdr:nvSpPr>
        <xdr:spPr>
          <a:xfrm>
            <a:off x="12145325" y="510538"/>
            <a:ext cx="5618800" cy="878205"/>
          </a:xfrm>
          <a:prstGeom prst="roundRect">
            <a:avLst>
              <a:gd name="adj" fmla="val 2489"/>
            </a:avLst>
          </a:prstGeom>
          <a:solidFill>
            <a:srgbClr val="C00000"/>
          </a:solidFill>
          <a:ln w="19050" cap="flat" cmpd="sng" algn="ctr">
            <a:noFill/>
            <a:prstDash val="solid"/>
            <a:miter lim="800000"/>
          </a:ln>
          <a:effectLst>
            <a:outerShdw blurRad="50800" dist="38100" dir="2700000" algn="tl" rotWithShape="0">
              <a:prstClr val="black">
                <a:alpha val="40000"/>
              </a:prstClr>
            </a:outerShdw>
          </a:effectLst>
        </xdr:spPr>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US" sz="1050" b="1" i="0" u="none" strike="noStrike" kern="0" cap="none" spc="0" normalizeH="0" baseline="0" noProof="0">
                <a:ln>
                  <a:noFill/>
                </a:ln>
                <a:solidFill>
                  <a:sysClr val="window" lastClr="FFFFFF"/>
                </a:solidFill>
                <a:effectLst/>
                <a:uLnTx/>
                <a:uFillTx/>
                <a:latin typeface="+mj-lt"/>
                <a:ea typeface="+mn-ea"/>
                <a:cs typeface="+mn-cs"/>
              </a:rPr>
              <a:t>Required Actions:</a:t>
            </a:r>
          </a:p>
          <a:p>
            <a:pPr marL="0" marR="0" lvl="0" indent="0" algn="l" defTabSz="914400" eaLnBrk="1" fontAlgn="auto" latinLnBrk="0" hangingPunct="1">
              <a:lnSpc>
                <a:spcPct val="100000"/>
              </a:lnSpc>
              <a:spcBef>
                <a:spcPts val="0"/>
              </a:spcBef>
              <a:spcAft>
                <a:spcPts val="0"/>
              </a:spcAft>
              <a:buClrTx/>
              <a:buSzTx/>
              <a:buFontTx/>
              <a:buNone/>
              <a:tabLst/>
              <a:defRPr/>
            </a:pPr>
            <a:r>
              <a:rPr kumimoji="0" lang="en-US" sz="1050" b="0" i="0" u="none" strike="noStrike" kern="0" cap="none" spc="0" normalizeH="0" baseline="0" noProof="0">
                <a:ln>
                  <a:noFill/>
                </a:ln>
                <a:solidFill>
                  <a:sysClr val="window" lastClr="FFFFFF"/>
                </a:solidFill>
                <a:effectLst/>
                <a:uLnTx/>
                <a:uFillTx/>
                <a:latin typeface="+mj-lt"/>
                <a:ea typeface="+mn-ea"/>
                <a:cs typeface="+mn-cs"/>
              </a:rPr>
              <a:t>    1 - Review of all High and Medium impact is mandatory.</a:t>
            </a:r>
          </a:p>
          <a:p>
            <a:pPr marL="0" marR="0" lvl="0" indent="0" algn="l" defTabSz="914400" eaLnBrk="1" fontAlgn="auto" latinLnBrk="0" hangingPunct="1">
              <a:lnSpc>
                <a:spcPct val="100000"/>
              </a:lnSpc>
              <a:spcBef>
                <a:spcPts val="0"/>
              </a:spcBef>
              <a:spcAft>
                <a:spcPts val="0"/>
              </a:spcAft>
              <a:buClrTx/>
              <a:buSzTx/>
              <a:buFontTx/>
              <a:buNone/>
              <a:tabLst/>
              <a:defRPr/>
            </a:pPr>
            <a:r>
              <a:rPr kumimoji="0" lang="en-US" sz="1050" b="0" i="0" u="none" strike="noStrike" kern="0" cap="none" spc="0" normalizeH="0" baseline="0" noProof="0">
                <a:ln>
                  <a:noFill/>
                </a:ln>
                <a:solidFill>
                  <a:sysClr val="window" lastClr="FFFFFF"/>
                </a:solidFill>
                <a:effectLst/>
                <a:uLnTx/>
                <a:uFillTx/>
                <a:latin typeface="+mj-lt"/>
                <a:ea typeface="+mn-ea"/>
                <a:cs typeface="+mn-cs"/>
              </a:rPr>
              <a:t>    2 - Review of Low impact is Optional, but highly recommended for services used in Critical Flows.</a:t>
            </a:r>
          </a:p>
          <a:p>
            <a:pPr marL="0" marR="0" lvl="0" indent="0" algn="l" defTabSz="914400" eaLnBrk="1" fontAlgn="auto" latinLnBrk="0" hangingPunct="1">
              <a:lnSpc>
                <a:spcPct val="100000"/>
              </a:lnSpc>
              <a:spcBef>
                <a:spcPts val="0"/>
              </a:spcBef>
              <a:spcAft>
                <a:spcPts val="0"/>
              </a:spcAft>
              <a:buClrTx/>
              <a:buSzTx/>
              <a:buFontTx/>
              <a:buNone/>
              <a:tabLst/>
              <a:defRPr/>
            </a:pPr>
            <a:r>
              <a:rPr kumimoji="0" lang="en-US" sz="1050" b="0" i="0" u="none" strike="noStrike" kern="0" cap="none" spc="0" normalizeH="0" baseline="0" noProof="0">
                <a:ln>
                  <a:noFill/>
                </a:ln>
                <a:solidFill>
                  <a:sysClr val="window" lastClr="FFFFFF"/>
                </a:solidFill>
                <a:effectLst/>
                <a:uLnTx/>
                <a:uFillTx/>
                <a:latin typeface="+mj-lt"/>
                <a:ea typeface="+mn-ea"/>
                <a:cs typeface="+mn-cs"/>
              </a:rPr>
              <a:t>    3 - Do not run the "3. Reports Generator" script until all High and Medium are 100% Reviewed.</a:t>
            </a:r>
          </a:p>
        </xdr:txBody>
      </xdr:sp>
      <xdr:sp macro="" textlink="">
        <xdr:nvSpPr>
          <xdr:cNvPr id="2" name="Rectangle: Rounded Corners 1">
            <a:extLst>
              <a:ext uri="{FF2B5EF4-FFF2-40B4-BE49-F238E27FC236}">
                <a16:creationId xmlns:a16="http://schemas.microsoft.com/office/drawing/2014/main" id="{336D3117-6E39-4078-B1AF-EA960DA77698}"/>
              </a:ext>
            </a:extLst>
          </xdr:cNvPr>
          <xdr:cNvSpPr>
            <a:spLocks/>
          </xdr:cNvSpPr>
        </xdr:nvSpPr>
        <xdr:spPr>
          <a:xfrm>
            <a:off x="12140557" y="380996"/>
            <a:ext cx="5621658" cy="235269"/>
          </a:xfrm>
          <a:prstGeom prst="roundRect">
            <a:avLst>
              <a:gd name="adj" fmla="val 2489"/>
            </a:avLst>
          </a:prstGeom>
          <a:solidFill>
            <a:srgbClr val="A4262C"/>
          </a:solidFill>
          <a:ln w="19050" cap="flat" cmpd="sng" algn="ctr">
            <a:noFill/>
            <a:prstDash val="solid"/>
            <a:miter lim="800000"/>
          </a:ln>
          <a:effectLst>
            <a:outerShdw blurRad="50800" dist="38100" dir="2700000" algn="tl" rotWithShape="0">
              <a:prstClr val="black">
                <a:alpha val="40000"/>
              </a:prstClr>
            </a:outerShdw>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1400" b="1" i="0" u="none" strike="noStrike" kern="0" cap="none" spc="0" normalizeH="0" baseline="0" noProof="0">
                <a:ln>
                  <a:noFill/>
                </a:ln>
                <a:solidFill>
                  <a:sysClr val="window" lastClr="FFFFFF"/>
                </a:solidFill>
                <a:effectLst/>
                <a:uLnTx/>
                <a:uFillTx/>
                <a:latin typeface="Aptos Display" panose="02110004020202020204"/>
                <a:ea typeface="+mn-ea"/>
                <a:cs typeface="+mn-cs"/>
              </a:rPr>
              <a:t>Important</a:t>
            </a:r>
          </a:p>
        </xdr:txBody>
      </xdr:sp>
    </xdr:grpSp>
    <xdr:clientData/>
  </xdr:twoCellAnchor>
  <xdr:twoCellAnchor editAs="absolute">
    <xdr:from>
      <xdr:col>0</xdr:col>
      <xdr:colOff>0</xdr:colOff>
      <xdr:row>0</xdr:row>
      <xdr:rowOff>0</xdr:rowOff>
    </xdr:from>
    <xdr:to>
      <xdr:col>5</xdr:col>
      <xdr:colOff>216609</xdr:colOff>
      <xdr:row>2</xdr:row>
      <xdr:rowOff>93345</xdr:rowOff>
    </xdr:to>
    <xdr:grpSp>
      <xdr:nvGrpSpPr>
        <xdr:cNvPr id="12" name="Group 11">
          <a:extLst>
            <a:ext uri="{FF2B5EF4-FFF2-40B4-BE49-F238E27FC236}">
              <a16:creationId xmlns:a16="http://schemas.microsoft.com/office/drawing/2014/main" id="{6AD37C23-15A6-4586-ADC7-7078944FCA0C}"/>
            </a:ext>
          </a:extLst>
        </xdr:cNvPr>
        <xdr:cNvGrpSpPr/>
      </xdr:nvGrpSpPr>
      <xdr:grpSpPr>
        <a:xfrm>
          <a:off x="0" y="0"/>
          <a:ext cx="11781080" cy="451933"/>
          <a:chOff x="0" y="0"/>
          <a:chExt cx="12070080" cy="459104"/>
        </a:xfrm>
      </xdr:grpSpPr>
      <xdr:sp macro="" textlink="">
        <xdr:nvSpPr>
          <xdr:cNvPr id="13" name="Rectangle 12">
            <a:extLst>
              <a:ext uri="{FF2B5EF4-FFF2-40B4-BE49-F238E27FC236}">
                <a16:creationId xmlns:a16="http://schemas.microsoft.com/office/drawing/2014/main" id="{77C61BA9-2789-AE58-D4F6-28B7AC942304}"/>
              </a:ext>
            </a:extLst>
          </xdr:cNvPr>
          <xdr:cNvSpPr/>
        </xdr:nvSpPr>
        <xdr:spPr>
          <a:xfrm>
            <a:off x="0" y="0"/>
            <a:ext cx="12070080" cy="459104"/>
          </a:xfrm>
          <a:prstGeom prst="rect">
            <a:avLst/>
          </a:prstGeom>
          <a:solidFill>
            <a:schemeClr val="tx1">
              <a:lumMod val="75000"/>
              <a:lumOff val="2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sp macro="" textlink="">
        <xdr:nvSpPr>
          <xdr:cNvPr id="14" name="Rectangle: Rounded Corners 13">
            <a:hlinkClick xmlns:r="http://schemas.openxmlformats.org/officeDocument/2006/relationships" r:id="rId1"/>
            <a:extLst>
              <a:ext uri="{FF2B5EF4-FFF2-40B4-BE49-F238E27FC236}">
                <a16:creationId xmlns:a16="http://schemas.microsoft.com/office/drawing/2014/main" id="{BA6A5651-04D4-B639-10FC-CB4149B4AAF6}"/>
              </a:ext>
            </a:extLst>
          </xdr:cNvPr>
          <xdr:cNvSpPr>
            <a:spLocks/>
          </xdr:cNvSpPr>
        </xdr:nvSpPr>
        <xdr:spPr>
          <a:xfrm>
            <a:off x="0" y="78113"/>
            <a:ext cx="1357213" cy="279895"/>
          </a:xfrm>
          <a:prstGeom prst="roundRect">
            <a:avLst/>
          </a:prstGeom>
          <a:solidFill>
            <a:schemeClr val="tx1">
              <a:lumMod val="75000"/>
              <a:lumOff val="25000"/>
            </a:schemeClr>
          </a:solidFill>
          <a:ln>
            <a:noFill/>
          </a:ln>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400" b="1">
                <a:solidFill>
                  <a:schemeClr val="bg1"/>
                </a:solidFill>
                <a:latin typeface="+mn-lt"/>
              </a:rPr>
              <a:t>Introduction</a:t>
            </a:r>
          </a:p>
        </xdr:txBody>
      </xdr:sp>
      <xdr:sp macro="" textlink="">
        <xdr:nvSpPr>
          <xdr:cNvPr id="15" name="Rectangle: Rounded Corners 14">
            <a:hlinkClick xmlns:r="http://schemas.openxmlformats.org/officeDocument/2006/relationships" r:id="rId2"/>
            <a:extLst>
              <a:ext uri="{FF2B5EF4-FFF2-40B4-BE49-F238E27FC236}">
                <a16:creationId xmlns:a16="http://schemas.microsoft.com/office/drawing/2014/main" id="{0C9EF8FE-BE48-CAD6-EE73-C34C013B4BE1}"/>
              </a:ext>
            </a:extLst>
          </xdr:cNvPr>
          <xdr:cNvSpPr>
            <a:spLocks/>
          </xdr:cNvSpPr>
        </xdr:nvSpPr>
        <xdr:spPr>
          <a:xfrm>
            <a:off x="3262077" y="85705"/>
            <a:ext cx="1587385" cy="272219"/>
          </a:xfrm>
          <a:prstGeom prst="roundRect">
            <a:avLst/>
          </a:prstGeom>
          <a:solidFill>
            <a:schemeClr val="tx1">
              <a:lumMod val="75000"/>
              <a:lumOff val="25000"/>
            </a:schemeClr>
          </a:solidFill>
          <a:ln>
            <a:noFill/>
          </a:ln>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400" b="1">
                <a:solidFill>
                  <a:schemeClr val="bg1"/>
                </a:solidFill>
                <a:latin typeface="+mn-lt"/>
                <a:ea typeface="+mn-ea"/>
                <a:cs typeface="+mn-cs"/>
              </a:rPr>
              <a:t>Inventory</a:t>
            </a:r>
          </a:p>
        </xdr:txBody>
      </xdr:sp>
      <xdr:sp macro="" textlink="">
        <xdr:nvSpPr>
          <xdr:cNvPr id="16" name="Rectangle: Rounded Corners 15">
            <a:hlinkClick xmlns:r="http://schemas.openxmlformats.org/officeDocument/2006/relationships" r:id="rId3"/>
            <a:extLst>
              <a:ext uri="{FF2B5EF4-FFF2-40B4-BE49-F238E27FC236}">
                <a16:creationId xmlns:a16="http://schemas.microsoft.com/office/drawing/2014/main" id="{4BAB2F2B-3B3B-E3E7-009E-93500D5E73C6}"/>
              </a:ext>
            </a:extLst>
          </xdr:cNvPr>
          <xdr:cNvSpPr>
            <a:spLocks/>
          </xdr:cNvSpPr>
        </xdr:nvSpPr>
        <xdr:spPr>
          <a:xfrm>
            <a:off x="6619396" y="83800"/>
            <a:ext cx="2087412" cy="275155"/>
          </a:xfrm>
          <a:prstGeom prst="roundRect">
            <a:avLst/>
          </a:prstGeom>
          <a:solidFill>
            <a:schemeClr val="tx1">
              <a:lumMod val="75000"/>
              <a:lumOff val="25000"/>
            </a:schemeClr>
          </a:solidFill>
          <a:ln>
            <a:noFill/>
          </a:ln>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400" b="1">
                <a:solidFill>
                  <a:schemeClr val="bg1"/>
                </a:solidFill>
                <a:latin typeface="+mn-lt"/>
              </a:rPr>
              <a:t>Impacted Resources</a:t>
            </a:r>
          </a:p>
        </xdr:txBody>
      </xdr:sp>
      <xdr:sp macro="" textlink="">
        <xdr:nvSpPr>
          <xdr:cNvPr id="32" name="Rectangle: Rounded Corners 31">
            <a:hlinkClick xmlns:r="http://schemas.openxmlformats.org/officeDocument/2006/relationships" r:id="rId4"/>
            <a:extLst>
              <a:ext uri="{FF2B5EF4-FFF2-40B4-BE49-F238E27FC236}">
                <a16:creationId xmlns:a16="http://schemas.microsoft.com/office/drawing/2014/main" id="{95118C0D-B61E-B247-D596-577060B78892}"/>
              </a:ext>
            </a:extLst>
          </xdr:cNvPr>
          <xdr:cNvSpPr>
            <a:spLocks/>
          </xdr:cNvSpPr>
        </xdr:nvSpPr>
        <xdr:spPr>
          <a:xfrm>
            <a:off x="8524258" y="85705"/>
            <a:ext cx="1595321" cy="273164"/>
          </a:xfrm>
          <a:prstGeom prst="roundRect">
            <a:avLst/>
          </a:prstGeom>
          <a:solidFill>
            <a:schemeClr val="tx1">
              <a:lumMod val="75000"/>
              <a:lumOff val="25000"/>
            </a:schemeClr>
          </a:solidFill>
          <a:ln>
            <a:noFill/>
          </a:ln>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400" b="1">
                <a:solidFill>
                  <a:schemeClr val="bg1"/>
                </a:solidFill>
                <a:latin typeface="+mn-lt"/>
              </a:rPr>
              <a:t>Platform Issues</a:t>
            </a:r>
          </a:p>
        </xdr:txBody>
      </xdr:sp>
      <xdr:sp macro="" textlink="">
        <xdr:nvSpPr>
          <xdr:cNvPr id="34" name="Rectangle: Rounded Corners 33">
            <a:hlinkClick xmlns:r="http://schemas.openxmlformats.org/officeDocument/2006/relationships" r:id="rId5"/>
            <a:extLst>
              <a:ext uri="{FF2B5EF4-FFF2-40B4-BE49-F238E27FC236}">
                <a16:creationId xmlns:a16="http://schemas.microsoft.com/office/drawing/2014/main" id="{B77BEB56-8B50-11E8-5AC2-A1491CD0106A}"/>
              </a:ext>
            </a:extLst>
          </xdr:cNvPr>
          <xdr:cNvSpPr>
            <a:spLocks/>
          </xdr:cNvSpPr>
        </xdr:nvSpPr>
        <xdr:spPr>
          <a:xfrm>
            <a:off x="10024337" y="82848"/>
            <a:ext cx="1754061" cy="273241"/>
          </a:xfrm>
          <a:prstGeom prst="roundRect">
            <a:avLst/>
          </a:prstGeom>
          <a:solidFill>
            <a:schemeClr val="tx1">
              <a:lumMod val="75000"/>
              <a:lumOff val="25000"/>
            </a:schemeClr>
          </a:solidFill>
          <a:ln>
            <a:noFill/>
          </a:ln>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400" b="1">
                <a:solidFill>
                  <a:schemeClr val="bg1"/>
                </a:solidFill>
                <a:latin typeface="+mn-lt"/>
              </a:rPr>
              <a:t>Support Requests</a:t>
            </a:r>
          </a:p>
        </xdr:txBody>
      </xdr:sp>
      <xdr:sp macro="" textlink="">
        <xdr:nvSpPr>
          <xdr:cNvPr id="35" name="Rectangle: Rounded Corners 34">
            <a:hlinkClick xmlns:r="http://schemas.openxmlformats.org/officeDocument/2006/relationships" r:id="rId6"/>
            <a:extLst>
              <a:ext uri="{FF2B5EF4-FFF2-40B4-BE49-F238E27FC236}">
                <a16:creationId xmlns:a16="http://schemas.microsoft.com/office/drawing/2014/main" id="{099E7FB1-D175-8EC8-3D87-B0FB9E84D71F}"/>
              </a:ext>
            </a:extLst>
          </xdr:cNvPr>
          <xdr:cNvSpPr>
            <a:spLocks/>
          </xdr:cNvSpPr>
        </xdr:nvSpPr>
        <xdr:spPr>
          <a:xfrm>
            <a:off x="1198476" y="77150"/>
            <a:ext cx="2031853" cy="288611"/>
          </a:xfrm>
          <a:prstGeom prst="roundRect">
            <a:avLst/>
          </a:prstGeom>
          <a:solidFill>
            <a:schemeClr val="tx1">
              <a:lumMod val="75000"/>
              <a:lumOff val="25000"/>
            </a:schemeClr>
          </a:solidFill>
          <a:ln>
            <a:noFill/>
          </a:ln>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400" b="1">
                <a:solidFill>
                  <a:schemeClr val="bg1"/>
                </a:solidFill>
                <a:latin typeface="+mn-lt"/>
              </a:rPr>
              <a:t>Workload Information</a:t>
            </a:r>
          </a:p>
        </xdr:txBody>
      </xdr:sp>
      <xdr:sp macro="" textlink="">
        <xdr:nvSpPr>
          <xdr:cNvPr id="36" name="Rectangle: Rounded Corners 35">
            <a:hlinkClick xmlns:r="http://schemas.openxmlformats.org/officeDocument/2006/relationships" r:id="rId7"/>
            <a:extLst>
              <a:ext uri="{FF2B5EF4-FFF2-40B4-BE49-F238E27FC236}">
                <a16:creationId xmlns:a16="http://schemas.microsoft.com/office/drawing/2014/main" id="{F5E24F1E-CD03-EEF0-2211-FBF1FEFF9789}"/>
              </a:ext>
            </a:extLst>
          </xdr:cNvPr>
          <xdr:cNvSpPr>
            <a:spLocks/>
          </xdr:cNvSpPr>
        </xdr:nvSpPr>
        <xdr:spPr>
          <a:xfrm>
            <a:off x="4962020" y="83800"/>
            <a:ext cx="1796661" cy="273171"/>
          </a:xfrm>
          <a:prstGeom prst="roundRect">
            <a:avLst/>
          </a:prstGeom>
          <a:solidFill>
            <a:schemeClr val="tx1">
              <a:lumMod val="75000"/>
              <a:lumOff val="25000"/>
            </a:schemeClr>
          </a:solidFill>
          <a:ln>
            <a:noFill/>
          </a:ln>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400" b="1">
                <a:solidFill>
                  <a:schemeClr val="bg1"/>
                </a:solidFill>
                <a:latin typeface="+mn-lt"/>
              </a:rPr>
              <a:t>Analysis Planning</a:t>
            </a:r>
          </a:p>
        </xdr:txBody>
      </xdr:sp>
      <xdr:grpSp>
        <xdr:nvGrpSpPr>
          <xdr:cNvPr id="37" name="Group 36">
            <a:extLst>
              <a:ext uri="{FF2B5EF4-FFF2-40B4-BE49-F238E27FC236}">
                <a16:creationId xmlns:a16="http://schemas.microsoft.com/office/drawing/2014/main" id="{C7331985-3C20-E152-B75B-6655245B60E5}"/>
              </a:ext>
            </a:extLst>
          </xdr:cNvPr>
          <xdr:cNvGrpSpPr/>
        </xdr:nvGrpSpPr>
        <xdr:grpSpPr>
          <a:xfrm>
            <a:off x="180973" y="358137"/>
            <a:ext cx="11395709" cy="46675"/>
            <a:chOff x="184785" y="222884"/>
            <a:chExt cx="11383327" cy="281938"/>
          </a:xfrm>
        </xdr:grpSpPr>
        <xdr:sp macro="" textlink="">
          <xdr:nvSpPr>
            <xdr:cNvPr id="38" name="Rectangle 37">
              <a:extLst>
                <a:ext uri="{FF2B5EF4-FFF2-40B4-BE49-F238E27FC236}">
                  <a16:creationId xmlns:a16="http://schemas.microsoft.com/office/drawing/2014/main" id="{9E726A8E-FEB4-45A3-F062-B5E114D6EC44}"/>
                </a:ext>
              </a:extLst>
            </xdr:cNvPr>
            <xdr:cNvSpPr/>
          </xdr:nvSpPr>
          <xdr:spPr>
            <a:xfrm>
              <a:off x="184785" y="222884"/>
              <a:ext cx="979169" cy="280987"/>
            </a:xfrm>
            <a:prstGeom prst="rect">
              <a:avLst/>
            </a:prstGeom>
            <a:solidFill>
              <a:schemeClr val="bg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sp macro="" textlink="">
          <xdr:nvSpPr>
            <xdr:cNvPr id="39" name="Rectangle 38">
              <a:extLst>
                <a:ext uri="{FF2B5EF4-FFF2-40B4-BE49-F238E27FC236}">
                  <a16:creationId xmlns:a16="http://schemas.microsoft.com/office/drawing/2014/main" id="{C8E621AC-197E-CB6A-186F-CC0F89C367F6}"/>
                </a:ext>
              </a:extLst>
            </xdr:cNvPr>
            <xdr:cNvSpPr/>
          </xdr:nvSpPr>
          <xdr:spPr>
            <a:xfrm>
              <a:off x="1364931" y="222884"/>
              <a:ext cx="1676400" cy="279081"/>
            </a:xfrm>
            <a:prstGeom prst="rect">
              <a:avLst/>
            </a:prstGeom>
            <a:solidFill>
              <a:schemeClr val="bg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sp macro="" textlink="">
          <xdr:nvSpPr>
            <xdr:cNvPr id="40" name="Rectangle 39">
              <a:extLst>
                <a:ext uri="{FF2B5EF4-FFF2-40B4-BE49-F238E27FC236}">
                  <a16:creationId xmlns:a16="http://schemas.microsoft.com/office/drawing/2014/main" id="{D10B5DF6-2DB3-E466-87A5-86AE42261B57}"/>
                </a:ext>
              </a:extLst>
            </xdr:cNvPr>
            <xdr:cNvSpPr/>
          </xdr:nvSpPr>
          <xdr:spPr>
            <a:xfrm>
              <a:off x="3301363" y="222884"/>
              <a:ext cx="1520192" cy="281938"/>
            </a:xfrm>
            <a:prstGeom prst="rect">
              <a:avLst/>
            </a:prstGeom>
            <a:solidFill>
              <a:schemeClr val="bg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sp macro="" textlink="">
          <xdr:nvSpPr>
            <xdr:cNvPr id="41" name="Rectangle 40">
              <a:extLst>
                <a:ext uri="{FF2B5EF4-FFF2-40B4-BE49-F238E27FC236}">
                  <a16:creationId xmlns:a16="http://schemas.microsoft.com/office/drawing/2014/main" id="{AD6286E9-E958-F125-0CC4-A995088263D7}"/>
                </a:ext>
              </a:extLst>
            </xdr:cNvPr>
            <xdr:cNvSpPr/>
          </xdr:nvSpPr>
          <xdr:spPr>
            <a:xfrm>
              <a:off x="5181598" y="222884"/>
              <a:ext cx="1362078" cy="280032"/>
            </a:xfrm>
            <a:prstGeom prst="rect">
              <a:avLst/>
            </a:prstGeom>
            <a:solidFill>
              <a:schemeClr val="bg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sp macro="" textlink="">
          <xdr:nvSpPr>
            <xdr:cNvPr id="42" name="Rectangle 41">
              <a:extLst>
                <a:ext uri="{FF2B5EF4-FFF2-40B4-BE49-F238E27FC236}">
                  <a16:creationId xmlns:a16="http://schemas.microsoft.com/office/drawing/2014/main" id="{4D6A7BFC-A271-DE39-35BC-A0804EB1DD48}"/>
                </a:ext>
              </a:extLst>
            </xdr:cNvPr>
            <xdr:cNvSpPr/>
          </xdr:nvSpPr>
          <xdr:spPr>
            <a:xfrm>
              <a:off x="6880858" y="222884"/>
              <a:ext cx="1562102" cy="278126"/>
            </a:xfrm>
            <a:prstGeom prst="rect">
              <a:avLst/>
            </a:prstGeom>
            <a:solidFill>
              <a:schemeClr val="bg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sp macro="" textlink="">
          <xdr:nvSpPr>
            <xdr:cNvPr id="43" name="Rectangle 42">
              <a:extLst>
                <a:ext uri="{FF2B5EF4-FFF2-40B4-BE49-F238E27FC236}">
                  <a16:creationId xmlns:a16="http://schemas.microsoft.com/office/drawing/2014/main" id="{E81B8899-1CD2-1D76-C0C6-957FEAA58EAA}"/>
                </a:ext>
              </a:extLst>
            </xdr:cNvPr>
            <xdr:cNvSpPr/>
          </xdr:nvSpPr>
          <xdr:spPr>
            <a:xfrm>
              <a:off x="8718230" y="222884"/>
              <a:ext cx="1189675" cy="280983"/>
            </a:xfrm>
            <a:prstGeom prst="rect">
              <a:avLst/>
            </a:prstGeom>
            <a:solidFill>
              <a:schemeClr val="bg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sp macro="" textlink="">
          <xdr:nvSpPr>
            <xdr:cNvPr id="44" name="Rectangle 43">
              <a:extLst>
                <a:ext uri="{FF2B5EF4-FFF2-40B4-BE49-F238E27FC236}">
                  <a16:creationId xmlns:a16="http://schemas.microsoft.com/office/drawing/2014/main" id="{8705136B-280E-8E03-C331-C6757070A5FC}"/>
                </a:ext>
              </a:extLst>
            </xdr:cNvPr>
            <xdr:cNvSpPr/>
          </xdr:nvSpPr>
          <xdr:spPr>
            <a:xfrm>
              <a:off x="10210797" y="222884"/>
              <a:ext cx="1357315" cy="279077"/>
            </a:xfrm>
            <a:prstGeom prst="rect">
              <a:avLst/>
            </a:prstGeom>
            <a:solidFill>
              <a:schemeClr val="bg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grpSp>
    </xdr:grp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2278379</xdr:colOff>
      <xdr:row>6</xdr:row>
      <xdr:rowOff>131444</xdr:rowOff>
    </xdr:from>
    <xdr:to>
      <xdr:col>0</xdr:col>
      <xdr:colOff>5280657</xdr:colOff>
      <xdr:row>11</xdr:row>
      <xdr:rowOff>22862</xdr:rowOff>
    </xdr:to>
    <xdr:grpSp>
      <xdr:nvGrpSpPr>
        <xdr:cNvPr id="4" name="Group 3">
          <a:extLst>
            <a:ext uri="{FF2B5EF4-FFF2-40B4-BE49-F238E27FC236}">
              <a16:creationId xmlns:a16="http://schemas.microsoft.com/office/drawing/2014/main" id="{3DEE5A92-4417-4047-8DB5-50DD956B5AF8}"/>
            </a:ext>
          </a:extLst>
        </xdr:cNvPr>
        <xdr:cNvGrpSpPr/>
      </xdr:nvGrpSpPr>
      <xdr:grpSpPr>
        <a:xfrm>
          <a:off x="2275204" y="1217294"/>
          <a:ext cx="3008628" cy="799468"/>
          <a:chOff x="2476500" y="1082040"/>
          <a:chExt cx="3000373" cy="822011"/>
        </a:xfrm>
      </xdr:grpSpPr>
      <xdr:sp macro="" textlink="">
        <xdr:nvSpPr>
          <xdr:cNvPr id="5" name="Rectangle: Rounded Corners 4">
            <a:extLst>
              <a:ext uri="{FF2B5EF4-FFF2-40B4-BE49-F238E27FC236}">
                <a16:creationId xmlns:a16="http://schemas.microsoft.com/office/drawing/2014/main" id="{4CAA89D0-8904-473B-FCB0-E2A3B414CB10}"/>
              </a:ext>
            </a:extLst>
          </xdr:cNvPr>
          <xdr:cNvSpPr/>
        </xdr:nvSpPr>
        <xdr:spPr>
          <a:xfrm>
            <a:off x="2476500" y="1082040"/>
            <a:ext cx="3000373" cy="624837"/>
          </a:xfrm>
          <a:prstGeom prst="roundRect">
            <a:avLst>
              <a:gd name="adj" fmla="val 11011"/>
            </a:avLst>
          </a:prstGeom>
          <a:solidFill>
            <a:schemeClr val="bg1">
              <a:lumMod val="95000"/>
            </a:schemeClr>
          </a:solidFill>
          <a:ln>
            <a:noFill/>
          </a:ln>
          <a:effectLst>
            <a:reflection blurRad="6350" stA="52000" endA="300" endPos="35000" dir="5400000" sy="-100000" algn="bl" rotWithShape="0"/>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200" b="1" baseline="0">
                <a:solidFill>
                  <a:sysClr val="windowText" lastClr="000000"/>
                </a:solidFill>
                <a:latin typeface="+mj-lt"/>
              </a:rPr>
              <a:t>REQUIRED ACTIONS: Review below the Required Actions for each item below</a:t>
            </a:r>
            <a:endParaRPr lang="en-US" sz="1200" b="1">
              <a:solidFill>
                <a:sysClr val="windowText" lastClr="000000"/>
              </a:solidFill>
              <a:latin typeface="+mj-lt"/>
            </a:endParaRPr>
          </a:p>
        </xdr:txBody>
      </xdr:sp>
      <xdr:sp macro="" textlink="">
        <xdr:nvSpPr>
          <xdr:cNvPr id="6" name="Arrow: Right 5">
            <a:extLst>
              <a:ext uri="{FF2B5EF4-FFF2-40B4-BE49-F238E27FC236}">
                <a16:creationId xmlns:a16="http://schemas.microsoft.com/office/drawing/2014/main" id="{49E03EC1-AB58-5C7E-EE14-5C0D780EE0F7}"/>
              </a:ext>
            </a:extLst>
          </xdr:cNvPr>
          <xdr:cNvSpPr/>
        </xdr:nvSpPr>
        <xdr:spPr>
          <a:xfrm rot="5400000">
            <a:off x="3818579" y="1561112"/>
            <a:ext cx="240981" cy="444897"/>
          </a:xfrm>
          <a:prstGeom prst="rightArrow">
            <a:avLst/>
          </a:prstGeom>
          <a:solidFill>
            <a:schemeClr val="tx2">
              <a:lumMod val="75000"/>
              <a:lumOff val="2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editAs="oneCell">
    <xdr:from>
      <xdr:col>0</xdr:col>
      <xdr:colOff>121920</xdr:colOff>
      <xdr:row>3</xdr:row>
      <xdr:rowOff>137160</xdr:rowOff>
    </xdr:from>
    <xdr:to>
      <xdr:col>0</xdr:col>
      <xdr:colOff>2192655</xdr:colOff>
      <xdr:row>10</xdr:row>
      <xdr:rowOff>59055</xdr:rowOff>
    </xdr:to>
    <xdr:sp macro="" textlink="">
      <xdr:nvSpPr>
        <xdr:cNvPr id="7" name="Rectangle: Rounded Corners 6">
          <a:extLst>
            <a:ext uri="{FF2B5EF4-FFF2-40B4-BE49-F238E27FC236}">
              <a16:creationId xmlns:a16="http://schemas.microsoft.com/office/drawing/2014/main" id="{34AC78F5-9B1D-41F7-8124-B2726327F301}"/>
            </a:ext>
          </a:extLst>
        </xdr:cNvPr>
        <xdr:cNvSpPr/>
      </xdr:nvSpPr>
      <xdr:spPr>
        <a:xfrm>
          <a:off x="121920" y="685800"/>
          <a:ext cx="2082130" cy="1204900"/>
        </a:xfrm>
        <a:prstGeom prst="roundRect">
          <a:avLst/>
        </a:prstGeom>
        <a:solidFill>
          <a:srgbClr val="595959"/>
        </a:solidFill>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600" b="1" baseline="0">
              <a:solidFill>
                <a:schemeClr val="bg1"/>
              </a:solidFill>
              <a:latin typeface="+mj-lt"/>
            </a:rPr>
            <a:t>Platform Issues</a:t>
          </a:r>
        </a:p>
      </xdr:txBody>
    </xdr:sp>
    <xdr:clientData/>
  </xdr:twoCellAnchor>
  <xdr:twoCellAnchor editAs="absolute">
    <xdr:from>
      <xdr:col>0</xdr:col>
      <xdr:colOff>0</xdr:colOff>
      <xdr:row>0</xdr:row>
      <xdr:rowOff>0</xdr:rowOff>
    </xdr:from>
    <xdr:to>
      <xdr:col>5</xdr:col>
      <xdr:colOff>1008592</xdr:colOff>
      <xdr:row>2</xdr:row>
      <xdr:rowOff>88477</xdr:rowOff>
    </xdr:to>
    <xdr:grpSp>
      <xdr:nvGrpSpPr>
        <xdr:cNvPr id="2" name="Group 1">
          <a:extLst>
            <a:ext uri="{FF2B5EF4-FFF2-40B4-BE49-F238E27FC236}">
              <a16:creationId xmlns:a16="http://schemas.microsoft.com/office/drawing/2014/main" id="{B0825A4C-F9B3-4CCD-B1D8-4926557CD470}"/>
            </a:ext>
          </a:extLst>
        </xdr:cNvPr>
        <xdr:cNvGrpSpPr/>
      </xdr:nvGrpSpPr>
      <xdr:grpSpPr>
        <a:xfrm>
          <a:off x="0" y="0"/>
          <a:ext cx="11800417" cy="447252"/>
          <a:chOff x="0" y="0"/>
          <a:chExt cx="12070080" cy="459104"/>
        </a:xfrm>
      </xdr:grpSpPr>
      <xdr:sp macro="" textlink="">
        <xdr:nvSpPr>
          <xdr:cNvPr id="3" name="Rectangle 2">
            <a:extLst>
              <a:ext uri="{FF2B5EF4-FFF2-40B4-BE49-F238E27FC236}">
                <a16:creationId xmlns:a16="http://schemas.microsoft.com/office/drawing/2014/main" id="{BFEEAA53-7709-3BC5-621D-EEF97BE2C5C3}"/>
              </a:ext>
            </a:extLst>
          </xdr:cNvPr>
          <xdr:cNvSpPr/>
        </xdr:nvSpPr>
        <xdr:spPr>
          <a:xfrm>
            <a:off x="0" y="0"/>
            <a:ext cx="12070080" cy="459104"/>
          </a:xfrm>
          <a:prstGeom prst="rect">
            <a:avLst/>
          </a:prstGeom>
          <a:solidFill>
            <a:schemeClr val="tx1">
              <a:lumMod val="75000"/>
              <a:lumOff val="2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sp macro="" textlink="">
        <xdr:nvSpPr>
          <xdr:cNvPr id="8" name="Rectangle: Rounded Corners 7">
            <a:hlinkClick xmlns:r="http://schemas.openxmlformats.org/officeDocument/2006/relationships" r:id="rId1"/>
            <a:extLst>
              <a:ext uri="{FF2B5EF4-FFF2-40B4-BE49-F238E27FC236}">
                <a16:creationId xmlns:a16="http://schemas.microsoft.com/office/drawing/2014/main" id="{65E70388-B6ED-7C54-5FA0-2AEF9299BD06}"/>
              </a:ext>
            </a:extLst>
          </xdr:cNvPr>
          <xdr:cNvSpPr>
            <a:spLocks/>
          </xdr:cNvSpPr>
        </xdr:nvSpPr>
        <xdr:spPr>
          <a:xfrm>
            <a:off x="0" y="78113"/>
            <a:ext cx="1357213" cy="279895"/>
          </a:xfrm>
          <a:prstGeom prst="roundRect">
            <a:avLst/>
          </a:prstGeom>
          <a:solidFill>
            <a:schemeClr val="tx1">
              <a:lumMod val="75000"/>
              <a:lumOff val="25000"/>
            </a:schemeClr>
          </a:solidFill>
          <a:ln>
            <a:noFill/>
          </a:ln>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400" b="1">
                <a:solidFill>
                  <a:schemeClr val="bg1"/>
                </a:solidFill>
                <a:latin typeface="+mn-lt"/>
              </a:rPr>
              <a:t>Introduction</a:t>
            </a:r>
          </a:p>
        </xdr:txBody>
      </xdr:sp>
      <xdr:sp macro="" textlink="">
        <xdr:nvSpPr>
          <xdr:cNvPr id="9" name="Rectangle: Rounded Corners 8">
            <a:hlinkClick xmlns:r="http://schemas.openxmlformats.org/officeDocument/2006/relationships" r:id="rId2"/>
            <a:extLst>
              <a:ext uri="{FF2B5EF4-FFF2-40B4-BE49-F238E27FC236}">
                <a16:creationId xmlns:a16="http://schemas.microsoft.com/office/drawing/2014/main" id="{6375E3B9-7799-BCA6-112B-0B5C224BA1A4}"/>
              </a:ext>
            </a:extLst>
          </xdr:cNvPr>
          <xdr:cNvSpPr>
            <a:spLocks/>
          </xdr:cNvSpPr>
        </xdr:nvSpPr>
        <xdr:spPr>
          <a:xfrm>
            <a:off x="3262077" y="85705"/>
            <a:ext cx="1587385" cy="272219"/>
          </a:xfrm>
          <a:prstGeom prst="roundRect">
            <a:avLst/>
          </a:prstGeom>
          <a:solidFill>
            <a:schemeClr val="tx1">
              <a:lumMod val="75000"/>
              <a:lumOff val="25000"/>
            </a:schemeClr>
          </a:solidFill>
          <a:ln>
            <a:noFill/>
          </a:ln>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400" b="1">
                <a:solidFill>
                  <a:schemeClr val="bg1"/>
                </a:solidFill>
                <a:latin typeface="+mn-lt"/>
                <a:ea typeface="+mn-ea"/>
                <a:cs typeface="+mn-cs"/>
              </a:rPr>
              <a:t>Inventory</a:t>
            </a:r>
          </a:p>
        </xdr:txBody>
      </xdr:sp>
      <xdr:sp macro="" textlink="">
        <xdr:nvSpPr>
          <xdr:cNvPr id="10" name="Rectangle: Rounded Corners 9">
            <a:hlinkClick xmlns:r="http://schemas.openxmlformats.org/officeDocument/2006/relationships" r:id="rId3"/>
            <a:extLst>
              <a:ext uri="{FF2B5EF4-FFF2-40B4-BE49-F238E27FC236}">
                <a16:creationId xmlns:a16="http://schemas.microsoft.com/office/drawing/2014/main" id="{33C236E5-13E2-10EE-B266-CEE628EDC56B}"/>
              </a:ext>
            </a:extLst>
          </xdr:cNvPr>
          <xdr:cNvSpPr>
            <a:spLocks/>
          </xdr:cNvSpPr>
        </xdr:nvSpPr>
        <xdr:spPr>
          <a:xfrm>
            <a:off x="6619396" y="83800"/>
            <a:ext cx="2087412" cy="275155"/>
          </a:xfrm>
          <a:prstGeom prst="roundRect">
            <a:avLst/>
          </a:prstGeom>
          <a:solidFill>
            <a:schemeClr val="tx1">
              <a:lumMod val="75000"/>
              <a:lumOff val="25000"/>
            </a:schemeClr>
          </a:solidFill>
          <a:ln>
            <a:noFill/>
          </a:ln>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400" b="1">
                <a:solidFill>
                  <a:schemeClr val="bg1"/>
                </a:solidFill>
                <a:latin typeface="+mn-lt"/>
              </a:rPr>
              <a:t>Impacted Resources</a:t>
            </a:r>
          </a:p>
        </xdr:txBody>
      </xdr:sp>
      <xdr:sp macro="" textlink="">
        <xdr:nvSpPr>
          <xdr:cNvPr id="11" name="Rectangle: Rounded Corners 10">
            <a:hlinkClick xmlns:r="http://schemas.openxmlformats.org/officeDocument/2006/relationships" r:id="rId4"/>
            <a:extLst>
              <a:ext uri="{FF2B5EF4-FFF2-40B4-BE49-F238E27FC236}">
                <a16:creationId xmlns:a16="http://schemas.microsoft.com/office/drawing/2014/main" id="{E215121A-CFA9-2042-29ED-84FBEE88C689}"/>
              </a:ext>
            </a:extLst>
          </xdr:cNvPr>
          <xdr:cNvSpPr>
            <a:spLocks/>
          </xdr:cNvSpPr>
        </xdr:nvSpPr>
        <xdr:spPr>
          <a:xfrm>
            <a:off x="8524258" y="85705"/>
            <a:ext cx="1595321" cy="273164"/>
          </a:xfrm>
          <a:prstGeom prst="roundRect">
            <a:avLst/>
          </a:prstGeom>
          <a:solidFill>
            <a:schemeClr val="tx1">
              <a:lumMod val="75000"/>
              <a:lumOff val="25000"/>
            </a:schemeClr>
          </a:solidFill>
          <a:ln>
            <a:noFill/>
          </a:ln>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400" b="1">
                <a:solidFill>
                  <a:schemeClr val="bg1"/>
                </a:solidFill>
                <a:latin typeface="+mn-lt"/>
              </a:rPr>
              <a:t>Platform Issues</a:t>
            </a:r>
          </a:p>
        </xdr:txBody>
      </xdr:sp>
      <xdr:sp macro="" textlink="">
        <xdr:nvSpPr>
          <xdr:cNvPr id="12" name="Rectangle: Rounded Corners 11">
            <a:hlinkClick xmlns:r="http://schemas.openxmlformats.org/officeDocument/2006/relationships" r:id="rId5"/>
            <a:extLst>
              <a:ext uri="{FF2B5EF4-FFF2-40B4-BE49-F238E27FC236}">
                <a16:creationId xmlns:a16="http://schemas.microsoft.com/office/drawing/2014/main" id="{D04DF832-39B4-8887-9960-3174FAB68C47}"/>
              </a:ext>
            </a:extLst>
          </xdr:cNvPr>
          <xdr:cNvSpPr>
            <a:spLocks/>
          </xdr:cNvSpPr>
        </xdr:nvSpPr>
        <xdr:spPr>
          <a:xfrm>
            <a:off x="10024337" y="82848"/>
            <a:ext cx="1754061" cy="273241"/>
          </a:xfrm>
          <a:prstGeom prst="roundRect">
            <a:avLst/>
          </a:prstGeom>
          <a:solidFill>
            <a:schemeClr val="tx1">
              <a:lumMod val="75000"/>
              <a:lumOff val="25000"/>
            </a:schemeClr>
          </a:solidFill>
          <a:ln>
            <a:noFill/>
          </a:ln>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400" b="1">
                <a:solidFill>
                  <a:schemeClr val="bg1"/>
                </a:solidFill>
                <a:latin typeface="+mn-lt"/>
              </a:rPr>
              <a:t>Support Requests</a:t>
            </a:r>
          </a:p>
        </xdr:txBody>
      </xdr:sp>
      <xdr:sp macro="" textlink="">
        <xdr:nvSpPr>
          <xdr:cNvPr id="30" name="Rectangle: Rounded Corners 29">
            <a:hlinkClick xmlns:r="http://schemas.openxmlformats.org/officeDocument/2006/relationships" r:id="rId6"/>
            <a:extLst>
              <a:ext uri="{FF2B5EF4-FFF2-40B4-BE49-F238E27FC236}">
                <a16:creationId xmlns:a16="http://schemas.microsoft.com/office/drawing/2014/main" id="{C1DDD56C-B461-735E-D0D1-E97D7473314A}"/>
              </a:ext>
            </a:extLst>
          </xdr:cNvPr>
          <xdr:cNvSpPr>
            <a:spLocks/>
          </xdr:cNvSpPr>
        </xdr:nvSpPr>
        <xdr:spPr>
          <a:xfrm>
            <a:off x="1198476" y="77150"/>
            <a:ext cx="2031853" cy="288611"/>
          </a:xfrm>
          <a:prstGeom prst="roundRect">
            <a:avLst/>
          </a:prstGeom>
          <a:solidFill>
            <a:schemeClr val="tx1">
              <a:lumMod val="75000"/>
              <a:lumOff val="25000"/>
            </a:schemeClr>
          </a:solidFill>
          <a:ln>
            <a:noFill/>
          </a:ln>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400" b="1">
                <a:solidFill>
                  <a:schemeClr val="bg1"/>
                </a:solidFill>
                <a:latin typeface="+mn-lt"/>
              </a:rPr>
              <a:t>Workload Information</a:t>
            </a:r>
          </a:p>
        </xdr:txBody>
      </xdr:sp>
      <xdr:sp macro="" textlink="">
        <xdr:nvSpPr>
          <xdr:cNvPr id="31" name="Rectangle: Rounded Corners 30">
            <a:hlinkClick xmlns:r="http://schemas.openxmlformats.org/officeDocument/2006/relationships" r:id="rId7"/>
            <a:extLst>
              <a:ext uri="{FF2B5EF4-FFF2-40B4-BE49-F238E27FC236}">
                <a16:creationId xmlns:a16="http://schemas.microsoft.com/office/drawing/2014/main" id="{3D9F174A-A2E4-B805-4C27-2E1E288C2ECA}"/>
              </a:ext>
            </a:extLst>
          </xdr:cNvPr>
          <xdr:cNvSpPr>
            <a:spLocks/>
          </xdr:cNvSpPr>
        </xdr:nvSpPr>
        <xdr:spPr>
          <a:xfrm>
            <a:off x="4962020" y="83800"/>
            <a:ext cx="1796661" cy="273171"/>
          </a:xfrm>
          <a:prstGeom prst="roundRect">
            <a:avLst/>
          </a:prstGeom>
          <a:solidFill>
            <a:schemeClr val="tx1">
              <a:lumMod val="75000"/>
              <a:lumOff val="25000"/>
            </a:schemeClr>
          </a:solidFill>
          <a:ln>
            <a:noFill/>
          </a:ln>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400" b="1">
                <a:solidFill>
                  <a:schemeClr val="bg1"/>
                </a:solidFill>
                <a:latin typeface="+mn-lt"/>
              </a:rPr>
              <a:t>Analysis Planning</a:t>
            </a:r>
          </a:p>
        </xdr:txBody>
      </xdr:sp>
      <xdr:grpSp>
        <xdr:nvGrpSpPr>
          <xdr:cNvPr id="32" name="Group 31">
            <a:extLst>
              <a:ext uri="{FF2B5EF4-FFF2-40B4-BE49-F238E27FC236}">
                <a16:creationId xmlns:a16="http://schemas.microsoft.com/office/drawing/2014/main" id="{82799A37-C98E-4FCA-123C-894B608AEA23}"/>
              </a:ext>
            </a:extLst>
          </xdr:cNvPr>
          <xdr:cNvGrpSpPr/>
        </xdr:nvGrpSpPr>
        <xdr:grpSpPr>
          <a:xfrm>
            <a:off x="180973" y="358137"/>
            <a:ext cx="11395709" cy="46675"/>
            <a:chOff x="184785" y="222884"/>
            <a:chExt cx="11383327" cy="281938"/>
          </a:xfrm>
        </xdr:grpSpPr>
        <xdr:sp macro="" textlink="">
          <xdr:nvSpPr>
            <xdr:cNvPr id="33" name="Rectangle 32">
              <a:extLst>
                <a:ext uri="{FF2B5EF4-FFF2-40B4-BE49-F238E27FC236}">
                  <a16:creationId xmlns:a16="http://schemas.microsoft.com/office/drawing/2014/main" id="{4907CBCD-ECB4-074C-454E-13F85349A563}"/>
                </a:ext>
              </a:extLst>
            </xdr:cNvPr>
            <xdr:cNvSpPr/>
          </xdr:nvSpPr>
          <xdr:spPr>
            <a:xfrm>
              <a:off x="184785" y="222884"/>
              <a:ext cx="979169" cy="280987"/>
            </a:xfrm>
            <a:prstGeom prst="rect">
              <a:avLst/>
            </a:prstGeom>
            <a:solidFill>
              <a:schemeClr val="bg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sp macro="" textlink="">
          <xdr:nvSpPr>
            <xdr:cNvPr id="34" name="Rectangle 33">
              <a:extLst>
                <a:ext uri="{FF2B5EF4-FFF2-40B4-BE49-F238E27FC236}">
                  <a16:creationId xmlns:a16="http://schemas.microsoft.com/office/drawing/2014/main" id="{F3750036-618F-F0B8-D463-D2A14431EAE2}"/>
                </a:ext>
              </a:extLst>
            </xdr:cNvPr>
            <xdr:cNvSpPr/>
          </xdr:nvSpPr>
          <xdr:spPr>
            <a:xfrm>
              <a:off x="1364931" y="222884"/>
              <a:ext cx="1676400" cy="279081"/>
            </a:xfrm>
            <a:prstGeom prst="rect">
              <a:avLst/>
            </a:prstGeom>
            <a:solidFill>
              <a:schemeClr val="bg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sp macro="" textlink="">
          <xdr:nvSpPr>
            <xdr:cNvPr id="35" name="Rectangle 34">
              <a:extLst>
                <a:ext uri="{FF2B5EF4-FFF2-40B4-BE49-F238E27FC236}">
                  <a16:creationId xmlns:a16="http://schemas.microsoft.com/office/drawing/2014/main" id="{4E7C5C3D-A521-F8C4-33E0-FCB4D65219D6}"/>
                </a:ext>
              </a:extLst>
            </xdr:cNvPr>
            <xdr:cNvSpPr/>
          </xdr:nvSpPr>
          <xdr:spPr>
            <a:xfrm>
              <a:off x="3301363" y="222884"/>
              <a:ext cx="1520192" cy="281938"/>
            </a:xfrm>
            <a:prstGeom prst="rect">
              <a:avLst/>
            </a:prstGeom>
            <a:solidFill>
              <a:schemeClr val="bg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sp macro="" textlink="">
          <xdr:nvSpPr>
            <xdr:cNvPr id="36" name="Rectangle 35">
              <a:extLst>
                <a:ext uri="{FF2B5EF4-FFF2-40B4-BE49-F238E27FC236}">
                  <a16:creationId xmlns:a16="http://schemas.microsoft.com/office/drawing/2014/main" id="{F5B82146-DC6B-F6E5-045C-873275904979}"/>
                </a:ext>
              </a:extLst>
            </xdr:cNvPr>
            <xdr:cNvSpPr/>
          </xdr:nvSpPr>
          <xdr:spPr>
            <a:xfrm>
              <a:off x="5181598" y="222884"/>
              <a:ext cx="1362078" cy="280032"/>
            </a:xfrm>
            <a:prstGeom prst="rect">
              <a:avLst/>
            </a:prstGeom>
            <a:solidFill>
              <a:schemeClr val="bg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sp macro="" textlink="">
          <xdr:nvSpPr>
            <xdr:cNvPr id="37" name="Rectangle 36">
              <a:extLst>
                <a:ext uri="{FF2B5EF4-FFF2-40B4-BE49-F238E27FC236}">
                  <a16:creationId xmlns:a16="http://schemas.microsoft.com/office/drawing/2014/main" id="{480CCFEB-3757-35AC-AE47-3A01D6B37028}"/>
                </a:ext>
              </a:extLst>
            </xdr:cNvPr>
            <xdr:cNvSpPr/>
          </xdr:nvSpPr>
          <xdr:spPr>
            <a:xfrm>
              <a:off x="6880858" y="222884"/>
              <a:ext cx="1562102" cy="278126"/>
            </a:xfrm>
            <a:prstGeom prst="rect">
              <a:avLst/>
            </a:prstGeom>
            <a:solidFill>
              <a:schemeClr val="bg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sp macro="" textlink="">
          <xdr:nvSpPr>
            <xdr:cNvPr id="38" name="Rectangle 37">
              <a:extLst>
                <a:ext uri="{FF2B5EF4-FFF2-40B4-BE49-F238E27FC236}">
                  <a16:creationId xmlns:a16="http://schemas.microsoft.com/office/drawing/2014/main" id="{767B9810-A89B-B745-9B28-CC117A0023EE}"/>
                </a:ext>
              </a:extLst>
            </xdr:cNvPr>
            <xdr:cNvSpPr/>
          </xdr:nvSpPr>
          <xdr:spPr>
            <a:xfrm>
              <a:off x="8718230" y="222884"/>
              <a:ext cx="1189675" cy="280983"/>
            </a:xfrm>
            <a:prstGeom prst="rect">
              <a:avLst/>
            </a:prstGeom>
            <a:solidFill>
              <a:schemeClr val="bg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sp macro="" textlink="">
          <xdr:nvSpPr>
            <xdr:cNvPr id="39" name="Rectangle 38">
              <a:extLst>
                <a:ext uri="{FF2B5EF4-FFF2-40B4-BE49-F238E27FC236}">
                  <a16:creationId xmlns:a16="http://schemas.microsoft.com/office/drawing/2014/main" id="{455A4F0B-3EDA-A749-5E80-5DA073733084}"/>
                </a:ext>
              </a:extLst>
            </xdr:cNvPr>
            <xdr:cNvSpPr/>
          </xdr:nvSpPr>
          <xdr:spPr>
            <a:xfrm>
              <a:off x="10210797" y="222884"/>
              <a:ext cx="1357315" cy="279077"/>
            </a:xfrm>
            <a:prstGeom prst="rect">
              <a:avLst/>
            </a:prstGeom>
            <a:solidFill>
              <a:schemeClr val="bg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grpSp>
    </xdr:grpSp>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58417</xdr:colOff>
      <xdr:row>2</xdr:row>
      <xdr:rowOff>135253</xdr:rowOff>
    </xdr:from>
    <xdr:to>
      <xdr:col>0</xdr:col>
      <xdr:colOff>2142490</xdr:colOff>
      <xdr:row>9</xdr:row>
      <xdr:rowOff>55245</xdr:rowOff>
    </xdr:to>
    <xdr:sp macro="" textlink="">
      <xdr:nvSpPr>
        <xdr:cNvPr id="30" name="Rectangle: Rounded Corners 29">
          <a:extLst>
            <a:ext uri="{FF2B5EF4-FFF2-40B4-BE49-F238E27FC236}">
              <a16:creationId xmlns:a16="http://schemas.microsoft.com/office/drawing/2014/main" id="{E6461C0B-0D89-442C-B68D-18905B7AA64E}"/>
            </a:ext>
          </a:extLst>
        </xdr:cNvPr>
        <xdr:cNvSpPr/>
      </xdr:nvSpPr>
      <xdr:spPr>
        <a:xfrm>
          <a:off x="58417" y="516253"/>
          <a:ext cx="2081177" cy="1233156"/>
        </a:xfrm>
        <a:prstGeom prst="roundRect">
          <a:avLst/>
        </a:prstGeom>
        <a:solidFill>
          <a:srgbClr val="595959"/>
        </a:solidFill>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600" b="1" baseline="0">
              <a:solidFill>
                <a:schemeClr val="bg1"/>
              </a:solidFill>
              <a:latin typeface="+mj-lt"/>
            </a:rPr>
            <a:t>Support Requests</a:t>
          </a:r>
        </a:p>
      </xdr:txBody>
    </xdr:sp>
    <xdr:clientData/>
  </xdr:twoCellAnchor>
  <xdr:twoCellAnchor>
    <xdr:from>
      <xdr:col>0</xdr:col>
      <xdr:colOff>2269807</xdr:colOff>
      <xdr:row>6</xdr:row>
      <xdr:rowOff>128587</xdr:rowOff>
    </xdr:from>
    <xdr:to>
      <xdr:col>1</xdr:col>
      <xdr:colOff>131443</xdr:colOff>
      <xdr:row>11</xdr:row>
      <xdr:rowOff>23815</xdr:rowOff>
    </xdr:to>
    <xdr:grpSp>
      <xdr:nvGrpSpPr>
        <xdr:cNvPr id="6" name="Group 5">
          <a:extLst>
            <a:ext uri="{FF2B5EF4-FFF2-40B4-BE49-F238E27FC236}">
              <a16:creationId xmlns:a16="http://schemas.microsoft.com/office/drawing/2014/main" id="{D745E055-4E69-EE1E-C3FC-3993F18D1331}"/>
            </a:ext>
          </a:extLst>
        </xdr:cNvPr>
        <xdr:cNvGrpSpPr/>
      </xdr:nvGrpSpPr>
      <xdr:grpSpPr>
        <a:xfrm>
          <a:off x="2269807" y="1211262"/>
          <a:ext cx="4033836" cy="806453"/>
          <a:chOff x="2476500" y="1082040"/>
          <a:chExt cx="3000373" cy="822011"/>
        </a:xfrm>
      </xdr:grpSpPr>
      <xdr:sp macro="" textlink="">
        <xdr:nvSpPr>
          <xdr:cNvPr id="4" name="Rectangle: Rounded Corners 3">
            <a:extLst>
              <a:ext uri="{FF2B5EF4-FFF2-40B4-BE49-F238E27FC236}">
                <a16:creationId xmlns:a16="http://schemas.microsoft.com/office/drawing/2014/main" id="{1D098B0E-95B2-4FA1-87CD-442A44B44934}"/>
              </a:ext>
            </a:extLst>
          </xdr:cNvPr>
          <xdr:cNvSpPr/>
        </xdr:nvSpPr>
        <xdr:spPr>
          <a:xfrm>
            <a:off x="2476500" y="1082040"/>
            <a:ext cx="3000373" cy="624837"/>
          </a:xfrm>
          <a:prstGeom prst="roundRect">
            <a:avLst>
              <a:gd name="adj" fmla="val 11011"/>
            </a:avLst>
          </a:prstGeom>
          <a:solidFill>
            <a:schemeClr val="bg1">
              <a:lumMod val="95000"/>
            </a:schemeClr>
          </a:solidFill>
          <a:ln>
            <a:noFill/>
          </a:ln>
          <a:effectLst>
            <a:reflection blurRad="6350" stA="52000" endA="300" endPos="35000" dir="5400000" sy="-100000" algn="bl" rotWithShape="0"/>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200" b="1" baseline="0">
                <a:solidFill>
                  <a:sysClr val="windowText" lastClr="000000"/>
                </a:solidFill>
                <a:latin typeface="+mj-lt"/>
              </a:rPr>
              <a:t>REQUIRED ACTIONS: Review below the Required Actions for each item below</a:t>
            </a:r>
            <a:endParaRPr lang="en-US" sz="1200" b="1">
              <a:solidFill>
                <a:sysClr val="windowText" lastClr="000000"/>
              </a:solidFill>
              <a:latin typeface="+mj-lt"/>
            </a:endParaRPr>
          </a:p>
        </xdr:txBody>
      </xdr:sp>
      <xdr:sp macro="" textlink="">
        <xdr:nvSpPr>
          <xdr:cNvPr id="5" name="Arrow: Right 4">
            <a:extLst>
              <a:ext uri="{FF2B5EF4-FFF2-40B4-BE49-F238E27FC236}">
                <a16:creationId xmlns:a16="http://schemas.microsoft.com/office/drawing/2014/main" id="{605585D6-D6CE-4758-BC1E-47AE4BF9EE59}"/>
              </a:ext>
            </a:extLst>
          </xdr:cNvPr>
          <xdr:cNvSpPr/>
        </xdr:nvSpPr>
        <xdr:spPr>
          <a:xfrm rot="5400000">
            <a:off x="3818579" y="1561112"/>
            <a:ext cx="240981" cy="444897"/>
          </a:xfrm>
          <a:prstGeom prst="rightArrow">
            <a:avLst/>
          </a:prstGeom>
          <a:solidFill>
            <a:schemeClr val="tx2">
              <a:lumMod val="75000"/>
              <a:lumOff val="2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editAs="absolute">
    <xdr:from>
      <xdr:col>0</xdr:col>
      <xdr:colOff>0</xdr:colOff>
      <xdr:row>0</xdr:row>
      <xdr:rowOff>0</xdr:rowOff>
    </xdr:from>
    <xdr:to>
      <xdr:col>4</xdr:col>
      <xdr:colOff>2078990</xdr:colOff>
      <xdr:row>2</xdr:row>
      <xdr:rowOff>92287</xdr:rowOff>
    </xdr:to>
    <xdr:grpSp>
      <xdr:nvGrpSpPr>
        <xdr:cNvPr id="2" name="Group 1">
          <a:extLst>
            <a:ext uri="{FF2B5EF4-FFF2-40B4-BE49-F238E27FC236}">
              <a16:creationId xmlns:a16="http://schemas.microsoft.com/office/drawing/2014/main" id="{E3BDF4E9-FACB-453E-B8E7-3522D1AC2EB7}"/>
            </a:ext>
          </a:extLst>
        </xdr:cNvPr>
        <xdr:cNvGrpSpPr/>
      </xdr:nvGrpSpPr>
      <xdr:grpSpPr>
        <a:xfrm>
          <a:off x="0" y="0"/>
          <a:ext cx="11746865" cy="454237"/>
          <a:chOff x="0" y="0"/>
          <a:chExt cx="12070080" cy="459104"/>
        </a:xfrm>
      </xdr:grpSpPr>
      <xdr:sp macro="" textlink="">
        <xdr:nvSpPr>
          <xdr:cNvPr id="3" name="Rectangle 2">
            <a:extLst>
              <a:ext uri="{FF2B5EF4-FFF2-40B4-BE49-F238E27FC236}">
                <a16:creationId xmlns:a16="http://schemas.microsoft.com/office/drawing/2014/main" id="{0FB51AFB-A74E-07A8-D72A-D2049F29C89F}"/>
              </a:ext>
            </a:extLst>
          </xdr:cNvPr>
          <xdr:cNvSpPr/>
        </xdr:nvSpPr>
        <xdr:spPr>
          <a:xfrm>
            <a:off x="0" y="0"/>
            <a:ext cx="12070080" cy="459104"/>
          </a:xfrm>
          <a:prstGeom prst="rect">
            <a:avLst/>
          </a:prstGeom>
          <a:solidFill>
            <a:schemeClr val="tx1">
              <a:lumMod val="75000"/>
              <a:lumOff val="2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sp macro="" textlink="">
        <xdr:nvSpPr>
          <xdr:cNvPr id="7" name="Rectangle: Rounded Corners 6">
            <a:hlinkClick xmlns:r="http://schemas.openxmlformats.org/officeDocument/2006/relationships" r:id="rId1"/>
            <a:extLst>
              <a:ext uri="{FF2B5EF4-FFF2-40B4-BE49-F238E27FC236}">
                <a16:creationId xmlns:a16="http://schemas.microsoft.com/office/drawing/2014/main" id="{BC0FCFD2-2F27-02F4-6044-FE8275504BA1}"/>
              </a:ext>
            </a:extLst>
          </xdr:cNvPr>
          <xdr:cNvSpPr>
            <a:spLocks/>
          </xdr:cNvSpPr>
        </xdr:nvSpPr>
        <xdr:spPr>
          <a:xfrm>
            <a:off x="0" y="78113"/>
            <a:ext cx="1357213" cy="279895"/>
          </a:xfrm>
          <a:prstGeom prst="roundRect">
            <a:avLst/>
          </a:prstGeom>
          <a:solidFill>
            <a:schemeClr val="tx1">
              <a:lumMod val="75000"/>
              <a:lumOff val="25000"/>
            </a:schemeClr>
          </a:solidFill>
          <a:ln>
            <a:noFill/>
          </a:ln>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400" b="1">
                <a:solidFill>
                  <a:schemeClr val="bg1"/>
                </a:solidFill>
                <a:latin typeface="+mn-lt"/>
              </a:rPr>
              <a:t>Introduction</a:t>
            </a:r>
          </a:p>
        </xdr:txBody>
      </xdr:sp>
      <xdr:sp macro="" textlink="">
        <xdr:nvSpPr>
          <xdr:cNvPr id="8" name="Rectangle: Rounded Corners 7">
            <a:hlinkClick xmlns:r="http://schemas.openxmlformats.org/officeDocument/2006/relationships" r:id="rId2"/>
            <a:extLst>
              <a:ext uri="{FF2B5EF4-FFF2-40B4-BE49-F238E27FC236}">
                <a16:creationId xmlns:a16="http://schemas.microsoft.com/office/drawing/2014/main" id="{CF25E672-D017-395D-E71F-845B0192E509}"/>
              </a:ext>
            </a:extLst>
          </xdr:cNvPr>
          <xdr:cNvSpPr>
            <a:spLocks/>
          </xdr:cNvSpPr>
        </xdr:nvSpPr>
        <xdr:spPr>
          <a:xfrm>
            <a:off x="3262077" y="85705"/>
            <a:ext cx="1587385" cy="272219"/>
          </a:xfrm>
          <a:prstGeom prst="roundRect">
            <a:avLst/>
          </a:prstGeom>
          <a:solidFill>
            <a:schemeClr val="tx1">
              <a:lumMod val="75000"/>
              <a:lumOff val="25000"/>
            </a:schemeClr>
          </a:solidFill>
          <a:ln>
            <a:noFill/>
          </a:ln>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400" b="1">
                <a:solidFill>
                  <a:schemeClr val="bg1"/>
                </a:solidFill>
                <a:latin typeface="+mn-lt"/>
                <a:ea typeface="+mn-ea"/>
                <a:cs typeface="+mn-cs"/>
              </a:rPr>
              <a:t>Inventory</a:t>
            </a:r>
          </a:p>
        </xdr:txBody>
      </xdr:sp>
      <xdr:sp macro="" textlink="">
        <xdr:nvSpPr>
          <xdr:cNvPr id="9" name="Rectangle: Rounded Corners 8">
            <a:hlinkClick xmlns:r="http://schemas.openxmlformats.org/officeDocument/2006/relationships" r:id="rId3"/>
            <a:extLst>
              <a:ext uri="{FF2B5EF4-FFF2-40B4-BE49-F238E27FC236}">
                <a16:creationId xmlns:a16="http://schemas.microsoft.com/office/drawing/2014/main" id="{CCAA5B96-7989-63DF-24A8-AADB52AECE80}"/>
              </a:ext>
            </a:extLst>
          </xdr:cNvPr>
          <xdr:cNvSpPr>
            <a:spLocks/>
          </xdr:cNvSpPr>
        </xdr:nvSpPr>
        <xdr:spPr>
          <a:xfrm>
            <a:off x="6619396" y="83800"/>
            <a:ext cx="2087412" cy="275155"/>
          </a:xfrm>
          <a:prstGeom prst="roundRect">
            <a:avLst/>
          </a:prstGeom>
          <a:solidFill>
            <a:schemeClr val="tx1">
              <a:lumMod val="75000"/>
              <a:lumOff val="25000"/>
            </a:schemeClr>
          </a:solidFill>
          <a:ln>
            <a:noFill/>
          </a:ln>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400" b="1">
                <a:solidFill>
                  <a:schemeClr val="bg1"/>
                </a:solidFill>
                <a:latin typeface="+mn-lt"/>
              </a:rPr>
              <a:t>Impacted Resources</a:t>
            </a:r>
          </a:p>
        </xdr:txBody>
      </xdr:sp>
      <xdr:sp macro="" textlink="">
        <xdr:nvSpPr>
          <xdr:cNvPr id="10" name="Rectangle: Rounded Corners 9">
            <a:hlinkClick xmlns:r="http://schemas.openxmlformats.org/officeDocument/2006/relationships" r:id="rId4"/>
            <a:extLst>
              <a:ext uri="{FF2B5EF4-FFF2-40B4-BE49-F238E27FC236}">
                <a16:creationId xmlns:a16="http://schemas.microsoft.com/office/drawing/2014/main" id="{67230439-E228-FEBD-060B-B912A7039846}"/>
              </a:ext>
            </a:extLst>
          </xdr:cNvPr>
          <xdr:cNvSpPr>
            <a:spLocks/>
          </xdr:cNvSpPr>
        </xdr:nvSpPr>
        <xdr:spPr>
          <a:xfrm>
            <a:off x="8524258" y="85705"/>
            <a:ext cx="1595321" cy="273164"/>
          </a:xfrm>
          <a:prstGeom prst="roundRect">
            <a:avLst/>
          </a:prstGeom>
          <a:solidFill>
            <a:schemeClr val="tx1">
              <a:lumMod val="75000"/>
              <a:lumOff val="25000"/>
            </a:schemeClr>
          </a:solidFill>
          <a:ln>
            <a:noFill/>
          </a:ln>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400" b="1">
                <a:solidFill>
                  <a:schemeClr val="bg1"/>
                </a:solidFill>
                <a:latin typeface="+mn-lt"/>
              </a:rPr>
              <a:t>Platform Issues</a:t>
            </a:r>
          </a:p>
        </xdr:txBody>
      </xdr:sp>
      <xdr:sp macro="" textlink="">
        <xdr:nvSpPr>
          <xdr:cNvPr id="11" name="Rectangle: Rounded Corners 10">
            <a:hlinkClick xmlns:r="http://schemas.openxmlformats.org/officeDocument/2006/relationships" r:id="rId5"/>
            <a:extLst>
              <a:ext uri="{FF2B5EF4-FFF2-40B4-BE49-F238E27FC236}">
                <a16:creationId xmlns:a16="http://schemas.microsoft.com/office/drawing/2014/main" id="{17E54DB9-8443-E25A-7F99-E2BEB76E5A7B}"/>
              </a:ext>
            </a:extLst>
          </xdr:cNvPr>
          <xdr:cNvSpPr>
            <a:spLocks/>
          </xdr:cNvSpPr>
        </xdr:nvSpPr>
        <xdr:spPr>
          <a:xfrm>
            <a:off x="10024337" y="82848"/>
            <a:ext cx="1754061" cy="273241"/>
          </a:xfrm>
          <a:prstGeom prst="roundRect">
            <a:avLst/>
          </a:prstGeom>
          <a:solidFill>
            <a:schemeClr val="tx1">
              <a:lumMod val="75000"/>
              <a:lumOff val="25000"/>
            </a:schemeClr>
          </a:solidFill>
          <a:ln>
            <a:noFill/>
          </a:ln>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400" b="1">
                <a:solidFill>
                  <a:schemeClr val="bg1"/>
                </a:solidFill>
                <a:latin typeface="+mn-lt"/>
              </a:rPr>
              <a:t>Support Requests</a:t>
            </a:r>
          </a:p>
        </xdr:txBody>
      </xdr:sp>
      <xdr:sp macro="" textlink="">
        <xdr:nvSpPr>
          <xdr:cNvPr id="12" name="Rectangle: Rounded Corners 11">
            <a:hlinkClick xmlns:r="http://schemas.openxmlformats.org/officeDocument/2006/relationships" r:id="rId6"/>
            <a:extLst>
              <a:ext uri="{FF2B5EF4-FFF2-40B4-BE49-F238E27FC236}">
                <a16:creationId xmlns:a16="http://schemas.microsoft.com/office/drawing/2014/main" id="{AB990CD4-3CDB-7F90-2171-18464E9DC7E1}"/>
              </a:ext>
            </a:extLst>
          </xdr:cNvPr>
          <xdr:cNvSpPr>
            <a:spLocks/>
          </xdr:cNvSpPr>
        </xdr:nvSpPr>
        <xdr:spPr>
          <a:xfrm>
            <a:off x="1198476" y="77150"/>
            <a:ext cx="2031853" cy="288611"/>
          </a:xfrm>
          <a:prstGeom prst="roundRect">
            <a:avLst/>
          </a:prstGeom>
          <a:solidFill>
            <a:schemeClr val="tx1">
              <a:lumMod val="75000"/>
              <a:lumOff val="25000"/>
            </a:schemeClr>
          </a:solidFill>
          <a:ln>
            <a:noFill/>
          </a:ln>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400" b="1">
                <a:solidFill>
                  <a:schemeClr val="bg1"/>
                </a:solidFill>
                <a:latin typeface="+mn-lt"/>
              </a:rPr>
              <a:t>Workload Information</a:t>
            </a:r>
          </a:p>
        </xdr:txBody>
      </xdr:sp>
      <xdr:sp macro="" textlink="">
        <xdr:nvSpPr>
          <xdr:cNvPr id="31" name="Rectangle: Rounded Corners 30">
            <a:hlinkClick xmlns:r="http://schemas.openxmlformats.org/officeDocument/2006/relationships" r:id="rId7"/>
            <a:extLst>
              <a:ext uri="{FF2B5EF4-FFF2-40B4-BE49-F238E27FC236}">
                <a16:creationId xmlns:a16="http://schemas.microsoft.com/office/drawing/2014/main" id="{F6D1C449-3684-125F-61F1-7DD426EB43F3}"/>
              </a:ext>
            </a:extLst>
          </xdr:cNvPr>
          <xdr:cNvSpPr>
            <a:spLocks/>
          </xdr:cNvSpPr>
        </xdr:nvSpPr>
        <xdr:spPr>
          <a:xfrm>
            <a:off x="4962020" y="83800"/>
            <a:ext cx="1796661" cy="273171"/>
          </a:xfrm>
          <a:prstGeom prst="roundRect">
            <a:avLst/>
          </a:prstGeom>
          <a:solidFill>
            <a:schemeClr val="tx1">
              <a:lumMod val="75000"/>
              <a:lumOff val="25000"/>
            </a:schemeClr>
          </a:solidFill>
          <a:ln>
            <a:noFill/>
          </a:ln>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400" b="1">
                <a:solidFill>
                  <a:schemeClr val="bg1"/>
                </a:solidFill>
                <a:latin typeface="+mn-lt"/>
              </a:rPr>
              <a:t>Analysis Planning</a:t>
            </a:r>
          </a:p>
        </xdr:txBody>
      </xdr:sp>
      <xdr:grpSp>
        <xdr:nvGrpSpPr>
          <xdr:cNvPr id="32" name="Group 31">
            <a:extLst>
              <a:ext uri="{FF2B5EF4-FFF2-40B4-BE49-F238E27FC236}">
                <a16:creationId xmlns:a16="http://schemas.microsoft.com/office/drawing/2014/main" id="{0F352DDA-0673-BAF8-3D38-D4A4F416AC5A}"/>
              </a:ext>
            </a:extLst>
          </xdr:cNvPr>
          <xdr:cNvGrpSpPr/>
        </xdr:nvGrpSpPr>
        <xdr:grpSpPr>
          <a:xfrm>
            <a:off x="180973" y="358137"/>
            <a:ext cx="11395709" cy="46675"/>
            <a:chOff x="184785" y="222884"/>
            <a:chExt cx="11383327" cy="281938"/>
          </a:xfrm>
        </xdr:grpSpPr>
        <xdr:sp macro="" textlink="">
          <xdr:nvSpPr>
            <xdr:cNvPr id="33" name="Rectangle 32">
              <a:extLst>
                <a:ext uri="{FF2B5EF4-FFF2-40B4-BE49-F238E27FC236}">
                  <a16:creationId xmlns:a16="http://schemas.microsoft.com/office/drawing/2014/main" id="{29A7085B-EECD-939D-F912-469E4C719053}"/>
                </a:ext>
              </a:extLst>
            </xdr:cNvPr>
            <xdr:cNvSpPr/>
          </xdr:nvSpPr>
          <xdr:spPr>
            <a:xfrm>
              <a:off x="184785" y="222884"/>
              <a:ext cx="979169" cy="280987"/>
            </a:xfrm>
            <a:prstGeom prst="rect">
              <a:avLst/>
            </a:prstGeom>
            <a:solidFill>
              <a:schemeClr val="bg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sp macro="" textlink="">
          <xdr:nvSpPr>
            <xdr:cNvPr id="34" name="Rectangle 33">
              <a:extLst>
                <a:ext uri="{FF2B5EF4-FFF2-40B4-BE49-F238E27FC236}">
                  <a16:creationId xmlns:a16="http://schemas.microsoft.com/office/drawing/2014/main" id="{B45106CC-584C-71AF-522B-05A7741042A4}"/>
                </a:ext>
              </a:extLst>
            </xdr:cNvPr>
            <xdr:cNvSpPr/>
          </xdr:nvSpPr>
          <xdr:spPr>
            <a:xfrm>
              <a:off x="1364931" y="222884"/>
              <a:ext cx="1676400" cy="279081"/>
            </a:xfrm>
            <a:prstGeom prst="rect">
              <a:avLst/>
            </a:prstGeom>
            <a:solidFill>
              <a:schemeClr val="bg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sp macro="" textlink="">
          <xdr:nvSpPr>
            <xdr:cNvPr id="35" name="Rectangle 34">
              <a:extLst>
                <a:ext uri="{FF2B5EF4-FFF2-40B4-BE49-F238E27FC236}">
                  <a16:creationId xmlns:a16="http://schemas.microsoft.com/office/drawing/2014/main" id="{75F80FA0-4A04-3CF2-4969-A68138753525}"/>
                </a:ext>
              </a:extLst>
            </xdr:cNvPr>
            <xdr:cNvSpPr/>
          </xdr:nvSpPr>
          <xdr:spPr>
            <a:xfrm>
              <a:off x="3301363" y="222884"/>
              <a:ext cx="1520192" cy="281938"/>
            </a:xfrm>
            <a:prstGeom prst="rect">
              <a:avLst/>
            </a:prstGeom>
            <a:solidFill>
              <a:schemeClr val="bg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sp macro="" textlink="">
          <xdr:nvSpPr>
            <xdr:cNvPr id="36" name="Rectangle 35">
              <a:extLst>
                <a:ext uri="{FF2B5EF4-FFF2-40B4-BE49-F238E27FC236}">
                  <a16:creationId xmlns:a16="http://schemas.microsoft.com/office/drawing/2014/main" id="{154D7252-4D3D-5098-3D0E-AEACA59641B9}"/>
                </a:ext>
              </a:extLst>
            </xdr:cNvPr>
            <xdr:cNvSpPr/>
          </xdr:nvSpPr>
          <xdr:spPr>
            <a:xfrm>
              <a:off x="5181598" y="222884"/>
              <a:ext cx="1362078" cy="280032"/>
            </a:xfrm>
            <a:prstGeom prst="rect">
              <a:avLst/>
            </a:prstGeom>
            <a:solidFill>
              <a:schemeClr val="bg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sp macro="" textlink="">
          <xdr:nvSpPr>
            <xdr:cNvPr id="37" name="Rectangle 36">
              <a:extLst>
                <a:ext uri="{FF2B5EF4-FFF2-40B4-BE49-F238E27FC236}">
                  <a16:creationId xmlns:a16="http://schemas.microsoft.com/office/drawing/2014/main" id="{7A156640-0EA2-4529-1993-D476A6EE0AE5}"/>
                </a:ext>
              </a:extLst>
            </xdr:cNvPr>
            <xdr:cNvSpPr/>
          </xdr:nvSpPr>
          <xdr:spPr>
            <a:xfrm>
              <a:off x="6880858" y="222884"/>
              <a:ext cx="1562102" cy="278126"/>
            </a:xfrm>
            <a:prstGeom prst="rect">
              <a:avLst/>
            </a:prstGeom>
            <a:solidFill>
              <a:schemeClr val="bg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sp macro="" textlink="">
          <xdr:nvSpPr>
            <xdr:cNvPr id="38" name="Rectangle 37">
              <a:extLst>
                <a:ext uri="{FF2B5EF4-FFF2-40B4-BE49-F238E27FC236}">
                  <a16:creationId xmlns:a16="http://schemas.microsoft.com/office/drawing/2014/main" id="{BA5B7CBE-4EED-24EC-7B1D-B6C42C8E61BC}"/>
                </a:ext>
              </a:extLst>
            </xdr:cNvPr>
            <xdr:cNvSpPr/>
          </xdr:nvSpPr>
          <xdr:spPr>
            <a:xfrm>
              <a:off x="8718230" y="222884"/>
              <a:ext cx="1189675" cy="280983"/>
            </a:xfrm>
            <a:prstGeom prst="rect">
              <a:avLst/>
            </a:prstGeom>
            <a:solidFill>
              <a:schemeClr val="bg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sp macro="" textlink="">
          <xdr:nvSpPr>
            <xdr:cNvPr id="39" name="Rectangle 38">
              <a:extLst>
                <a:ext uri="{FF2B5EF4-FFF2-40B4-BE49-F238E27FC236}">
                  <a16:creationId xmlns:a16="http://schemas.microsoft.com/office/drawing/2014/main" id="{E77374A8-72D3-9FDC-7661-C2915E8B0C0B}"/>
                </a:ext>
              </a:extLst>
            </xdr:cNvPr>
            <xdr:cNvSpPr/>
          </xdr:nvSpPr>
          <xdr:spPr>
            <a:xfrm>
              <a:off x="10210797" y="222884"/>
              <a:ext cx="1357315" cy="279077"/>
            </a:xfrm>
            <a:prstGeom prst="rect">
              <a:avLst/>
            </a:prstGeom>
            <a:solidFill>
              <a:schemeClr val="bg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grpSp>
    </xdr:grp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F8F8ED8-CCEC-4254-92E6-9D8C59233DA6}" name="Table1" displayName="Table1" ref="B6:D18" totalsRowShown="0" headerRowDxfId="74">
  <autoFilter ref="B6:D18" xr:uid="{0F8F8ED8-CCEC-4254-92E6-9D8C59233DA6}"/>
  <tableColumns count="3">
    <tableColumn id="1" xr3:uid="{C207CBC3-50F2-4D64-BC72-FDFA9F0534FD}" name="Information" dataDxfId="73"/>
    <tableColumn id="2" xr3:uid="{E7CA99E0-EA65-4711-A3CF-522962B54189}" name="." dataDxfId="72"/>
    <tableColumn id="3" xr3:uid="{7589206D-2815-48C1-8823-47C35D00D6A3}" name="Workload Data" dataDxfId="7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D898616-EB70-4AB9-A0FD-981A49E063B9}" name="InScopeResources" displayName="InScopeResources" ref="A12:L42" totalsRowShown="0" headerRowDxfId="49" dataDxfId="50">
  <autoFilter ref="A12:L42" xr:uid="{4D898616-EB70-4AB9-A0FD-981A49E063B9}"/>
  <tableColumns count="12">
    <tableColumn id="1" xr3:uid="{F4FE628A-BB82-4D44-BF00-47C5831F1395}" name="id" dataDxfId="62"/>
    <tableColumn id="2" xr3:uid="{EFBDDB76-5142-4E3B-979F-5B1AD3C9012F}" name="name" dataDxfId="61"/>
    <tableColumn id="3" xr3:uid="{4F5996D9-B3AE-4A00-A5F7-6EF5B4D33A59}" name="type" dataDxfId="60"/>
    <tableColumn id="4" xr3:uid="{21EE9F9C-079D-4492-83A6-A7F9B5D6252F}" name="tenantId" dataDxfId="59"/>
    <tableColumn id="5" xr3:uid="{2949CE65-8870-4B44-B885-886129C07D66}" name="kind" dataDxfId="58"/>
    <tableColumn id="6" xr3:uid="{0686A9C0-70B4-4907-A598-C7D656CC2091}" name="location" dataDxfId="57"/>
    <tableColumn id="7" xr3:uid="{9CFB2D8C-D696-4AA5-A9A8-9EF1090D7D2B}" name="resourceGroup" dataDxfId="56"/>
    <tableColumn id="8" xr3:uid="{85D81D54-D3ED-462D-B481-B5BD57879A4F}" name="subscriptionId" dataDxfId="55"/>
    <tableColumn id="9" xr3:uid="{0F1DE0F4-D319-4ACE-8BC7-45CE35B5A8DB}" name="managedBy" dataDxfId="54"/>
    <tableColumn id="10" xr3:uid="{1664D1BF-4D76-402F-BF47-5441F922143E}" name="sku" dataDxfId="53"/>
    <tableColumn id="11" xr3:uid="{6440031D-AD8C-47E8-B44B-6DE47D2C5C53}" name="plan" dataDxfId="52"/>
    <tableColumn id="12" xr3:uid="{3FD6E70B-FB2B-4C84-A41D-80D125889D7F}" name="zones" dataDxfId="51"/>
  </tableColumns>
  <tableStyleInfo name="TableStyleLight1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AC96623-1D8C-417D-B298-8A35DE8E1275}" name="TableTypes8" displayName="TableTypes8" ref="A10:H23" totalsRowShown="0" headerRowDxfId="0">
  <autoFilter ref="A10:H23" xr:uid="{0AC96623-1D8C-417D-B298-8A35DE8E1275}"/>
  <tableColumns count="8">
    <tableColumn id="1" xr3:uid="{43D841E4-EDB7-4D79-B745-BA64D929DD34}" name="Category" dataDxfId="8"/>
    <tableColumn id="2" xr3:uid="{F6D6C6D2-02DD-4898-9EBF-BCA0B25E93DD}" name="Resource Type" dataDxfId="7"/>
    <tableColumn id="3" xr3:uid="{C6FC62E5-7E33-46FD-8CB5-279C75A1D8F0}" name="Number of Resources" dataDxfId="6"/>
    <tableColumn id="4" xr3:uid="{0521ACF6-2F8F-4BF0-8D21-DF5FAC8B0FA8}" name="Impacted Resources" dataDxfId="5"/>
    <tableColumn id="5" xr3:uid="{223A6B25-F58A-4BF4-9322-B1079DAB30CE}" name="Has Recommendations_x000a_in APRL/Advisor" dataDxfId="4"/>
    <tableColumn id="6" xr3:uid="{86D04E33-E339-48B9-B4B7-C725519F43D8}" name="Assessment Owner" dataDxfId="3"/>
    <tableColumn id="7" xr3:uid="{8CFF4A35-8964-4479-942A-B095CF9A31F9}" name="Assessment Status" dataDxfId="2"/>
    <tableColumn id="8" xr3:uid="{24B1EBE7-839F-45C3-AF41-7BB8F01F2D0B}" name="Notes" dataDxfId="1"/>
  </tableColumns>
  <tableStyleInfo name="TableStyleLight1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19A0171-C295-4942-A145-B19E81D0AB1B}" name="impactedresources" displayName="impactedresources" ref="A12:AB101" totalsRowShown="0" headerRowDxfId="38">
  <autoFilter ref="A12:AB101" xr:uid="{D19A0171-C295-4942-A145-B19E81D0AB1B}"/>
  <tableColumns count="28">
    <tableColumn id="1" xr3:uid="{B82CCF58-7887-42D9-8466-9074DE1531F4}" name="REQUIRED ACTIONS / REVIEW STATUS" dataDxfId="48"/>
    <tableColumn id="2" xr3:uid="{531B6BC0-2ABC-49A5-890C-DCDE62BC1A81}" name="ValidationCategory" dataDxfId="47"/>
    <tableColumn id="3" xr3:uid="{30DCAB70-B3F8-4F8F-8DCE-CFC3F2430144}" name="Resource Type" dataDxfId="46"/>
    <tableColumn id="4" xr3:uid="{2F7A510B-A9C8-46B5-9A3B-65B92CA3E4A2}" name="subscriptionId" dataDxfId="45"/>
    <tableColumn id="5" xr3:uid="{A82E1911-6055-46E4-B168-8E3BEFB601EA}" name="resourceGroup" dataDxfId="44"/>
    <tableColumn id="6" xr3:uid="{FD2F3061-1C4A-4DD8-9BD7-9E5178692AC6}" name="location" dataDxfId="43"/>
    <tableColumn id="7" xr3:uid="{957CB62E-0DC2-4B4A-B203-954F7E62FB0D}" name="name" dataDxfId="42"/>
    <tableColumn id="8" xr3:uid="{671DD40B-96DD-44B0-9390-A594D3213E7B}" name="id" dataDxfId="41"/>
    <tableColumn id="9" xr3:uid="{0CB4927A-4ED0-477B-A4B3-4D42838932F0}" name="custom1" dataDxfId="40"/>
    <tableColumn id="10" xr3:uid="{9BFC3BBD-1168-4CD6-91FC-E49EBAFF5324}" name="custom2"/>
    <tableColumn id="11" xr3:uid="{68A036A4-22BC-4EA6-A698-90029A5DF209}" name="custom3"/>
    <tableColumn id="12" xr3:uid="{58AD7761-9AA9-49C4-8DB3-B423F9574787}" name="custom4"/>
    <tableColumn id="13" xr3:uid="{7864D267-53C1-4FE8-8070-FBF200508F79}" name="custom5"/>
    <tableColumn id="14" xr3:uid="{A7C4232F-964F-470D-A1C0-62B9E26EAB29}" name="Recommendation Title"/>
    <tableColumn id="15" xr3:uid="{17F39BB6-0F5D-48C5-8DC2-221913B6A6FF}" name="Impact"/>
    <tableColumn id="16" xr3:uid="{21B86954-DCA3-4599-9460-E52256BFC897}" name="Recommendation Control"/>
    <tableColumn id="17" xr3:uid="{4E193A92-4ABD-4FB9-8A05-252332D27EA6}" name="Potential Benefit"/>
    <tableColumn id="18" xr3:uid="{41ACFAAF-7DF9-4025-A520-DF58CC900E14}" name="Learn More Link"/>
    <tableColumn id="19" xr3:uid="{5929A673-37BF-4D64-8C1B-6D06598E1B24}" name="Long Description" dataDxfId="39"/>
    <tableColumn id="20" xr3:uid="{5E6D8BCE-CA9B-4330-8BBE-3F2C6663E05B}" name="Guid"/>
    <tableColumn id="21" xr3:uid="{4E47218A-DBAC-4BEF-8A2D-468D3F2D819E}" name="Category"/>
    <tableColumn id="22" xr3:uid="{29333A98-BA41-4E9E-92FA-CF8410168250}" name="Source"/>
    <tableColumn id="23" xr3:uid="{C4E1509C-09B2-4F61-A62F-A7F113ED71B8}" name="WAF Pillar"/>
    <tableColumn id="24" xr3:uid="{59D2111E-B83B-41DF-8011-41415D6081E2}" name="Platform Issue TrackingId"/>
    <tableColumn id="25" xr3:uid="{3151D14C-A561-4394-915E-E05BA778D972}" name="Retirement TrackingId"/>
    <tableColumn id="26" xr3:uid="{29324715-507A-491D-9884-5BE2B9614410}" name="Support Request Number"/>
    <tableColumn id="27" xr3:uid="{C1BA42AE-305C-4A47-B295-729E7B76FB25}" name="Notes"/>
    <tableColumn id="28" xr3:uid="{39EDF550-944B-4821-BF4D-335F23281065}" name="checkName"/>
  </tableColumns>
  <tableStyleInfo name="TableStyleLight1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6B47DAA-209B-4536-B50D-62D87A9B0D85}" name="platformIssues" displayName="platformIssues" ref="A12:P13" totalsRowShown="0" headerRowDxfId="20" dataDxfId="21">
  <autoFilter ref="A12:P13" xr:uid="{E6B47DAA-209B-4536-B50D-62D87A9B0D85}"/>
  <tableColumns count="16">
    <tableColumn id="1" xr3:uid="{69FD6294-6AE2-427C-9399-B9A2EEC1BCEC}" name="REQUIRED ACTIONS / REVIEW STATUS" dataDxfId="37"/>
    <tableColumn id="2" xr3:uid="{5DA9729E-3CBA-4518-8862-8C2D8C94E978}" name="Tracking ID" dataDxfId="36"/>
    <tableColumn id="3" xr3:uid="{2C165AF9-0850-4973-9F07-0887BC2B615B}" name="Event Type" dataDxfId="35"/>
    <tableColumn id="4" xr3:uid="{765E948F-CF80-4BE6-B008-5A4E669E3447}" name="Event Source" dataDxfId="34"/>
    <tableColumn id="5" xr3:uid="{0D8AC0FD-8165-416B-950D-1FE4624BC4D6}" name="Status" dataDxfId="33"/>
    <tableColumn id="6" xr3:uid="{09B2A2C0-9A38-41CF-BE05-D0D1E46177F2}" name="Title" dataDxfId="32"/>
    <tableColumn id="7" xr3:uid="{F6FF4271-09FB-4468-B62D-A75EE213C22C}" name="Level" dataDxfId="31"/>
    <tableColumn id="8" xr3:uid="{AFF9DE3A-FC38-4256-8A6F-B4ECF4909FAD}" name="Event Level" dataDxfId="30"/>
    <tableColumn id="9" xr3:uid="{C7AA6F80-0362-436E-8642-19B2BCD06FD0}" name="Start Time" dataDxfId="29"/>
    <tableColumn id="10" xr3:uid="{BF5ED5F2-111D-43AE-B095-5FE6630EC6C2}" name="Mitigation Time" dataDxfId="28"/>
    <tableColumn id="11" xr3:uid="{E0AA4403-E09B-49DB-8078-5730DA7A1EDA}" name="Impacted Service" dataDxfId="27"/>
    <tableColumn id="12" xr3:uid="{F65D34FB-0376-4640-BACE-C0B24DE3C578}" name="What happened" dataDxfId="26"/>
    <tableColumn id="13" xr3:uid="{1BC92E6E-D7D9-4251-8277-310887D5ACD7}" name="What went wrong and why" dataDxfId="25"/>
    <tableColumn id="14" xr3:uid="{311516A2-AC4B-4F12-BCD0-D120F96E52CD}" name="How did we respond" dataDxfId="24"/>
    <tableColumn id="15" xr3:uid="{B487ACDF-621C-4FAD-80E7-F48C34A310F3}" name="How are we making incidents like this less likely or less impactful" dataDxfId="23"/>
    <tableColumn id="16" xr3:uid="{E28BB3E2-1A15-4F03-8667-A93DD90BA542}" name="How can customers make incidents like this less impactful" dataDxfId="22"/>
  </tableColumns>
  <tableStyleInfo name="TableStyleLight1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1EA10836-662A-49BE-A2FD-AE97DB7FFE07}" name="supportRequests" displayName="supportRequests" ref="A12:I13" totalsRowShown="0" headerRowDxfId="9" dataDxfId="10">
  <autoFilter ref="A12:I13" xr:uid="{1EA10836-662A-49BE-A2FD-AE97DB7FFE07}"/>
  <tableColumns count="9">
    <tableColumn id="1" xr3:uid="{0DF66EF8-8E03-46E5-9963-7302ABE0C8B6}" name="REQUIRED ACTIONS / REVIEW STATUS" dataDxfId="19"/>
    <tableColumn id="2" xr3:uid="{266C1F6C-862E-48B4-996B-C59E076D0A0D}" name="Ticket ID" dataDxfId="18"/>
    <tableColumn id="3" xr3:uid="{656E9C73-B691-4556-8D6C-C36FA460F02F}" name="Severity" dataDxfId="17"/>
    <tableColumn id="4" xr3:uid="{5243A3CC-EBB9-4027-BE66-09389E72BD90}" name="Status" dataDxfId="16"/>
    <tableColumn id="5" xr3:uid="{787B224D-A2C1-4F31-ADAA-789681C8EB6A}" name="Support Plan Type" dataDxfId="15"/>
    <tableColumn id="6" xr3:uid="{FF6294E6-2D24-4CE5-8F52-F70C388FB151}" name="Creation Date" dataDxfId="14"/>
    <tableColumn id="7" xr3:uid="{AE7A0D29-CC55-4A74-B1D5-736794D527E7}" name="Modified Date" dataDxfId="13"/>
    <tableColumn id="8" xr3:uid="{C13326B9-CEAA-42E8-ACC8-DC28906E7686}" name="Title" dataDxfId="12"/>
    <tableColumn id="9" xr3:uid="{843EBEC4-6E34-4035-9115-CCED3B70344B}" name="Related Resource" dataDxfId="11"/>
  </tableColumns>
  <tableStyleInfo name="TableStyleLight1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solidFill>
          <a:srgbClr val="F38307"/>
        </a:solidFill>
        <a:ln>
          <a:noFill/>
        </a:ln>
        <a:effectLst>
          <a:outerShdw blurRad="50800" dist="38100" dir="2700000" algn="tl" rotWithShape="0">
            <a:prstClr val="black">
              <a:alpha val="40000"/>
            </a:prstClr>
          </a:outerShdw>
        </a:effectLst>
      </a:spPr>
      <a:bodyPr vertOverflow="clip" horzOverflow="clip" rtlCol="0" anchor="ctr"/>
      <a:lstStyle>
        <a:defPPr algn="ctr">
          <a:defRPr sz="1600" b="1" baseline="0">
            <a:solidFill>
              <a:schemeClr val="bg1"/>
            </a:solidFill>
            <a:latin typeface="+mj-lt"/>
          </a:defRPr>
        </a:defPPr>
      </a:lstStyle>
      <a:style>
        <a:lnRef idx="2">
          <a:schemeClr val="accent6"/>
        </a:lnRef>
        <a:fillRef idx="1">
          <a:schemeClr val="lt1"/>
        </a:fillRef>
        <a:effectRef idx="0">
          <a:schemeClr val="accent6"/>
        </a:effectRef>
        <a:fontRef idx="minor">
          <a:schemeClr val="dk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279DE1-6697-4B69-803B-75E64DC975D8}">
  <dimension ref="A1:AZ16"/>
  <sheetViews>
    <sheetView tabSelected="1" zoomScaleNormal="100" workbookViewId="0">
      <pane ySplit="9" topLeftCell="A10" activePane="bottomLeft" state="frozen"/>
      <selection pane="bottomLeft"/>
    </sheetView>
  </sheetViews>
  <sheetFormatPr defaultColWidth="0" defaultRowHeight="14.25" customHeight="1" zeroHeight="1" x14ac:dyDescent="0.35"/>
  <cols>
    <col min="1" max="2" width="3.36328125" style="10" customWidth="1"/>
    <col min="3" max="3" width="4.6328125" style="38" bestFit="1" customWidth="1"/>
    <col min="4" max="4" width="36.54296875" style="10" customWidth="1"/>
    <col min="5" max="5" width="67" style="10" customWidth="1"/>
    <col min="6" max="6" width="25.08984375" style="10" customWidth="1"/>
    <col min="7" max="12" width="12.36328125" style="10" customWidth="1"/>
    <col min="13" max="13" width="3.36328125" style="10" hidden="1" customWidth="1"/>
    <col min="14" max="28" width="6" style="10" hidden="1" customWidth="1"/>
    <col min="29" max="29" width="5" style="10" hidden="1" customWidth="1"/>
    <col min="30" max="31" width="6" style="10" hidden="1" customWidth="1"/>
    <col min="32" max="32" width="13.453125" style="10" hidden="1" customWidth="1"/>
    <col min="33" max="33" width="7.54296875" style="10" hidden="1" customWidth="1"/>
    <col min="34" max="41" width="0" style="10" hidden="1" customWidth="1"/>
    <col min="42" max="42" width="39.453125" style="10" hidden="1" customWidth="1"/>
    <col min="43" max="43" width="0" style="10" hidden="1" customWidth="1"/>
    <col min="44" max="44" width="13.453125" style="10" hidden="1" customWidth="1"/>
    <col min="45" max="52" width="7.54296875" style="10" hidden="1" customWidth="1"/>
    <col min="53" max="53" width="9" style="10" hidden="1" customWidth="1"/>
    <col min="54" max="16384" width="9" style="10" hidden="1"/>
  </cols>
  <sheetData>
    <row r="1" spans="1:31" ht="14.25" customHeight="1" x14ac:dyDescent="0.35">
      <c r="A1" s="32"/>
      <c r="B1" s="32"/>
      <c r="C1" s="32"/>
      <c r="D1" s="32"/>
      <c r="E1" s="32"/>
      <c r="F1" s="32"/>
      <c r="G1" s="32"/>
      <c r="H1" s="32"/>
      <c r="I1" s="32"/>
      <c r="J1" s="32"/>
      <c r="K1" s="32"/>
      <c r="L1" s="32"/>
    </row>
    <row r="2" spans="1:31" ht="14.25" customHeight="1" x14ac:dyDescent="0.35">
      <c r="A2" s="32"/>
      <c r="B2" s="32"/>
      <c r="C2" s="32"/>
      <c r="D2" s="32"/>
      <c r="E2" s="32"/>
      <c r="F2" s="32"/>
      <c r="G2" s="32"/>
      <c r="H2" s="32"/>
      <c r="I2" s="32"/>
      <c r="J2" s="32"/>
      <c r="K2" s="32"/>
      <c r="L2" s="32"/>
    </row>
    <row r="3" spans="1:31" ht="14.25" customHeight="1" x14ac:dyDescent="0.35">
      <c r="A3" s="32"/>
      <c r="B3" s="32"/>
      <c r="C3" s="32"/>
      <c r="D3" s="32"/>
      <c r="E3" s="32"/>
      <c r="F3" s="32"/>
      <c r="G3" s="32"/>
      <c r="H3" s="32"/>
      <c r="I3" s="32"/>
      <c r="J3" s="32"/>
      <c r="K3" s="32"/>
      <c r="L3" s="32"/>
    </row>
    <row r="4" spans="1:31" ht="14.4" customHeight="1" x14ac:dyDescent="0.35">
      <c r="A4" s="11"/>
      <c r="B4" s="11"/>
      <c r="C4" s="36"/>
      <c r="D4" s="11"/>
      <c r="E4" s="11"/>
      <c r="F4" s="11"/>
      <c r="G4" s="11"/>
      <c r="H4" s="11"/>
      <c r="I4" s="11"/>
      <c r="J4" s="11"/>
      <c r="K4" s="11"/>
      <c r="L4" s="11"/>
      <c r="M4" s="11"/>
      <c r="N4" s="11"/>
      <c r="O4" s="11"/>
      <c r="P4" s="11"/>
      <c r="Q4" s="11"/>
      <c r="R4" s="11"/>
      <c r="S4" s="11"/>
      <c r="T4" s="11"/>
      <c r="U4" s="11"/>
      <c r="V4" s="11"/>
      <c r="W4" s="11"/>
      <c r="X4" s="11"/>
      <c r="Y4" s="11"/>
      <c r="Z4" s="11"/>
      <c r="AA4" s="11"/>
      <c r="AB4" s="11"/>
      <c r="AC4" s="11"/>
      <c r="AD4" s="11"/>
      <c r="AE4" s="11"/>
    </row>
    <row r="5" spans="1:31" ht="14.4" customHeight="1" x14ac:dyDescent="0.35">
      <c r="A5" s="11"/>
      <c r="B5" s="11"/>
      <c r="C5" s="36"/>
      <c r="D5" s="11"/>
      <c r="E5" s="11"/>
      <c r="F5" s="11"/>
      <c r="G5" s="11"/>
      <c r="H5" s="11"/>
      <c r="I5" s="11"/>
      <c r="J5" s="11"/>
      <c r="K5" s="11"/>
      <c r="L5" s="11"/>
      <c r="M5" s="11"/>
      <c r="N5" s="11"/>
      <c r="O5" s="11"/>
      <c r="P5" s="11"/>
      <c r="Q5" s="11"/>
      <c r="R5" s="11"/>
      <c r="S5" s="11"/>
      <c r="T5" s="11"/>
      <c r="U5" s="11"/>
      <c r="V5" s="11"/>
      <c r="W5" s="11"/>
      <c r="X5" s="11"/>
      <c r="Y5" s="11"/>
      <c r="Z5" s="11"/>
      <c r="AA5" s="11"/>
      <c r="AB5" s="11"/>
      <c r="AC5" s="11"/>
      <c r="AD5" s="11"/>
      <c r="AE5" s="11"/>
    </row>
    <row r="6" spans="1:31" ht="14.4" customHeight="1" x14ac:dyDescent="0.35">
      <c r="A6" s="11"/>
      <c r="B6" s="11"/>
      <c r="C6" s="36"/>
      <c r="D6" s="11"/>
      <c r="E6" s="11"/>
      <c r="F6" s="11"/>
      <c r="G6" s="11"/>
      <c r="H6" s="11"/>
      <c r="I6" s="11"/>
      <c r="J6" s="11"/>
      <c r="K6" s="11"/>
      <c r="L6" s="11"/>
      <c r="M6" s="11"/>
      <c r="N6" s="11"/>
      <c r="O6" s="11"/>
      <c r="P6" s="11"/>
      <c r="Q6" s="11"/>
      <c r="R6" s="11"/>
      <c r="S6" s="11"/>
      <c r="T6" s="11"/>
      <c r="U6" s="11"/>
      <c r="V6" s="11"/>
      <c r="W6" s="11"/>
      <c r="X6" s="11"/>
      <c r="Y6" s="11"/>
      <c r="Z6" s="11"/>
      <c r="AA6" s="11"/>
      <c r="AB6" s="11"/>
      <c r="AC6" s="11"/>
      <c r="AD6" s="11"/>
      <c r="AE6" s="11"/>
    </row>
    <row r="7" spans="1:31" ht="14.4" customHeight="1" x14ac:dyDescent="0.35">
      <c r="A7" s="11"/>
      <c r="B7" s="11"/>
      <c r="C7" s="36"/>
      <c r="D7" s="11"/>
      <c r="E7" s="11"/>
      <c r="F7" s="11"/>
      <c r="G7" s="11"/>
      <c r="H7" s="11"/>
      <c r="I7" s="11"/>
      <c r="J7" s="11"/>
      <c r="K7" s="11"/>
      <c r="L7" s="11"/>
      <c r="M7" s="11"/>
      <c r="N7" s="11"/>
      <c r="O7" s="11"/>
      <c r="P7" s="11"/>
      <c r="Q7" s="11"/>
      <c r="R7" s="11"/>
      <c r="S7" s="11"/>
      <c r="T7" s="11"/>
      <c r="U7" s="11"/>
      <c r="V7" s="11"/>
      <c r="W7" s="11"/>
      <c r="X7" s="11"/>
      <c r="Y7" s="11"/>
      <c r="Z7" s="11"/>
      <c r="AA7" s="11"/>
      <c r="AB7" s="11"/>
      <c r="AC7" s="11"/>
      <c r="AD7" s="11"/>
      <c r="AE7" s="11"/>
    </row>
    <row r="8" spans="1:31" ht="14.4" customHeight="1" x14ac:dyDescent="0.35">
      <c r="A8" s="11"/>
      <c r="B8" s="11"/>
      <c r="C8" s="36"/>
      <c r="D8" s="11"/>
      <c r="E8" s="11"/>
      <c r="F8" s="11"/>
      <c r="G8" s="11"/>
      <c r="H8" s="11"/>
      <c r="I8" s="11"/>
      <c r="J8" s="11"/>
      <c r="K8" s="11"/>
      <c r="L8" s="11"/>
      <c r="M8" s="11"/>
      <c r="N8" s="11"/>
      <c r="O8" s="11"/>
      <c r="P8" s="11"/>
      <c r="Q8" s="11"/>
      <c r="R8" s="11"/>
      <c r="S8" s="11"/>
      <c r="T8" s="11"/>
      <c r="U8" s="11"/>
      <c r="V8" s="11"/>
      <c r="W8" s="11"/>
      <c r="X8" s="11"/>
      <c r="Y8" s="11"/>
      <c r="Z8" s="11"/>
      <c r="AA8" s="11"/>
      <c r="AB8" s="11"/>
      <c r="AC8" s="11"/>
      <c r="AD8" s="11"/>
      <c r="AE8" s="11"/>
    </row>
    <row r="9" spans="1:31" ht="14.25" customHeight="1" x14ac:dyDescent="0.35">
      <c r="A9" s="12"/>
      <c r="B9" s="12"/>
      <c r="C9" s="37"/>
      <c r="D9" s="12"/>
      <c r="E9" s="12"/>
      <c r="F9" s="12"/>
      <c r="G9" s="12"/>
      <c r="H9" s="12"/>
      <c r="I9" s="12"/>
      <c r="J9" s="12"/>
      <c r="K9" s="12"/>
      <c r="L9" s="12"/>
      <c r="M9" s="12"/>
      <c r="N9" s="12"/>
      <c r="O9" s="12"/>
      <c r="P9" s="12"/>
      <c r="Q9" s="12"/>
      <c r="R9" s="12"/>
      <c r="S9" s="12"/>
      <c r="T9" s="12"/>
      <c r="U9" s="12"/>
      <c r="V9" s="12"/>
      <c r="W9" s="12"/>
      <c r="X9" s="12"/>
      <c r="Y9" s="12"/>
      <c r="Z9" s="12"/>
      <c r="AA9" s="12"/>
      <c r="AB9" s="12"/>
      <c r="AC9" s="12"/>
      <c r="AD9" s="12"/>
      <c r="AE9" s="11"/>
    </row>
    <row r="10" spans="1:31" ht="52" x14ac:dyDescent="0.35">
      <c r="A10" s="11"/>
      <c r="B10" s="11"/>
      <c r="C10" s="40">
        <v>1</v>
      </c>
      <c r="D10" s="41" t="s">
        <v>0</v>
      </c>
      <c r="E10" s="88" t="s">
        <v>1</v>
      </c>
      <c r="F10" s="35"/>
      <c r="G10" s="11"/>
      <c r="H10" s="11"/>
      <c r="I10" s="11"/>
      <c r="J10" s="11"/>
      <c r="K10" s="11"/>
      <c r="L10" s="11"/>
      <c r="M10" s="11"/>
      <c r="N10" s="11"/>
      <c r="O10" s="11"/>
      <c r="P10" s="11"/>
      <c r="Q10" s="11"/>
      <c r="R10" s="11"/>
      <c r="S10" s="11"/>
      <c r="T10" s="11"/>
      <c r="U10" s="11"/>
      <c r="V10" s="11"/>
      <c r="W10" s="11"/>
      <c r="X10" s="11"/>
      <c r="Y10" s="11"/>
      <c r="Z10" s="11"/>
      <c r="AA10" s="11"/>
      <c r="AB10" s="11"/>
      <c r="AC10" s="11"/>
      <c r="AD10" s="11"/>
      <c r="AE10" s="11"/>
    </row>
    <row r="11" spans="1:31" ht="52" x14ac:dyDescent="0.35">
      <c r="A11" s="11"/>
      <c r="B11" s="11"/>
      <c r="C11" s="42">
        <v>2</v>
      </c>
      <c r="D11" s="43" t="s">
        <v>2</v>
      </c>
      <c r="E11" s="88" t="s">
        <v>3</v>
      </c>
      <c r="F11" s="35"/>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row>
    <row r="12" spans="1:31" ht="117" x14ac:dyDescent="0.35">
      <c r="A12" s="11"/>
      <c r="B12" s="11"/>
      <c r="C12" s="44">
        <v>3</v>
      </c>
      <c r="D12" s="45" t="s">
        <v>4</v>
      </c>
      <c r="E12" s="88" t="s">
        <v>5</v>
      </c>
      <c r="F12" s="35"/>
      <c r="G12" s="11"/>
      <c r="H12" s="11"/>
      <c r="I12" s="11"/>
      <c r="J12" s="11"/>
      <c r="K12" s="11"/>
      <c r="L12" s="11"/>
      <c r="M12" s="11"/>
      <c r="N12" s="11"/>
      <c r="O12" s="11"/>
      <c r="P12" s="11"/>
      <c r="Q12" s="11"/>
      <c r="R12" s="11"/>
      <c r="S12" s="11"/>
      <c r="T12" s="11"/>
      <c r="U12" s="11"/>
      <c r="V12" s="11"/>
      <c r="W12" s="11"/>
      <c r="X12" s="11"/>
      <c r="Y12" s="11"/>
      <c r="Z12" s="11"/>
      <c r="AA12" s="11"/>
      <c r="AB12" s="11"/>
      <c r="AC12" s="11"/>
      <c r="AD12" s="11"/>
      <c r="AE12" s="11"/>
    </row>
    <row r="13" spans="1:31" ht="130" x14ac:dyDescent="0.35">
      <c r="A13" s="11"/>
      <c r="B13" s="11"/>
      <c r="C13" s="46">
        <v>4</v>
      </c>
      <c r="D13" s="47" t="s">
        <v>6</v>
      </c>
      <c r="E13" s="88" t="s">
        <v>7</v>
      </c>
      <c r="F13" s="35"/>
      <c r="G13" s="11"/>
      <c r="H13" s="11"/>
      <c r="I13" s="11"/>
      <c r="J13" s="11"/>
      <c r="K13" s="11"/>
      <c r="L13" s="11"/>
      <c r="M13" s="11"/>
    </row>
    <row r="14" spans="1:31" ht="143" x14ac:dyDescent="0.35">
      <c r="A14" s="11"/>
      <c r="B14" s="11"/>
      <c r="C14" s="48">
        <v>5</v>
      </c>
      <c r="D14" s="49" t="s">
        <v>8</v>
      </c>
      <c r="E14" s="39" t="s">
        <v>9</v>
      </c>
      <c r="F14" s="35"/>
      <c r="G14" s="11"/>
      <c r="H14" s="11"/>
      <c r="I14" s="11"/>
      <c r="J14" s="11"/>
      <c r="K14" s="11"/>
      <c r="L14" s="11"/>
      <c r="M14" s="11"/>
    </row>
    <row r="15" spans="1:31" ht="143" x14ac:dyDescent="0.35">
      <c r="A15" s="11"/>
      <c r="B15" s="11"/>
      <c r="C15" s="50">
        <v>6</v>
      </c>
      <c r="D15" s="51" t="s">
        <v>10</v>
      </c>
      <c r="E15" s="88" t="s">
        <v>11</v>
      </c>
      <c r="F15" s="35"/>
      <c r="G15" s="11"/>
      <c r="H15" s="11"/>
      <c r="I15" s="11"/>
      <c r="J15" s="11"/>
      <c r="K15" s="11"/>
      <c r="L15" s="11"/>
      <c r="M15" s="11"/>
    </row>
    <row r="16" spans="1:31" ht="14.25" customHeight="1" x14ac:dyDescent="0.35">
      <c r="A16" s="11"/>
      <c r="B16" s="11"/>
      <c r="C16" s="36"/>
      <c r="D16" s="11"/>
      <c r="E16" s="11"/>
      <c r="F16" s="11"/>
      <c r="G16" s="11"/>
      <c r="H16" s="11"/>
      <c r="I16" s="11"/>
      <c r="J16" s="11"/>
      <c r="K16" s="11"/>
      <c r="L16" s="11"/>
      <c r="M16" s="11"/>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3BAA2B-61AD-4234-B668-42B44A030622}">
  <dimension ref="A1:K22"/>
  <sheetViews>
    <sheetView workbookViewId="0">
      <pane ySplit="3" topLeftCell="A4" activePane="bottomLeft" state="frozen"/>
      <selection pane="bottomLeft"/>
    </sheetView>
  </sheetViews>
  <sheetFormatPr defaultColWidth="0" defaultRowHeight="18.5" zeroHeight="1" x14ac:dyDescent="0.45"/>
  <cols>
    <col min="1" max="1" width="9" style="61" customWidth="1"/>
    <col min="2" max="2" width="33" style="61" customWidth="1"/>
    <col min="3" max="3" width="10.54296875" style="61" customWidth="1"/>
    <col min="4" max="4" width="39" style="61" customWidth="1"/>
    <col min="5" max="5" width="3.54296875" style="61" customWidth="1"/>
    <col min="6" max="6" width="53.08984375" style="61" customWidth="1"/>
    <col min="7" max="9" width="9" style="61" customWidth="1"/>
    <col min="10" max="11" width="0" hidden="1" customWidth="1"/>
    <col min="12" max="12" width="9" hidden="1" customWidth="1"/>
    <col min="13" max="16384" width="9" hidden="1"/>
  </cols>
  <sheetData>
    <row r="1" spans="1:9" ht="14.5" x14ac:dyDescent="0.35">
      <c r="A1" s="34" t="s">
        <v>12</v>
      </c>
      <c r="B1" s="34"/>
      <c r="C1" s="34"/>
      <c r="D1" s="34"/>
      <c r="E1" s="34"/>
      <c r="F1" s="34"/>
      <c r="G1" s="34"/>
      <c r="H1" s="34"/>
      <c r="I1" s="34"/>
    </row>
    <row r="2" spans="1:9" ht="14.5" x14ac:dyDescent="0.35">
      <c r="A2" s="34"/>
      <c r="B2" s="34"/>
      <c r="C2" s="34"/>
      <c r="D2" s="34"/>
      <c r="E2" s="34"/>
      <c r="F2" s="34"/>
      <c r="G2" s="34"/>
      <c r="H2" s="34"/>
      <c r="I2" s="34"/>
    </row>
    <row r="3" spans="1:9" ht="14.5" x14ac:dyDescent="0.35">
      <c r="A3" s="34"/>
      <c r="B3" s="34"/>
      <c r="C3" s="34"/>
      <c r="D3" s="34"/>
      <c r="E3" s="34"/>
      <c r="F3" s="34"/>
      <c r="G3" s="34"/>
      <c r="H3" s="34"/>
      <c r="I3" s="34"/>
    </row>
    <row r="4" spans="1:9" x14ac:dyDescent="0.35">
      <c r="A4" s="60"/>
      <c r="B4" s="60"/>
      <c r="C4" s="60"/>
      <c r="D4" s="60"/>
      <c r="E4" s="60"/>
      <c r="F4" s="60"/>
      <c r="G4" s="60"/>
      <c r="H4" s="60"/>
      <c r="I4" s="60"/>
    </row>
    <row r="5" spans="1:9" x14ac:dyDescent="0.35">
      <c r="A5" s="60"/>
      <c r="B5" s="60"/>
      <c r="C5" s="60"/>
      <c r="D5" s="60"/>
      <c r="E5" s="64"/>
      <c r="F5" s="64"/>
      <c r="G5" s="60"/>
      <c r="H5" s="60"/>
      <c r="I5" s="60"/>
    </row>
    <row r="6" spans="1:9" x14ac:dyDescent="0.35">
      <c r="A6" s="60"/>
      <c r="B6" s="63" t="s">
        <v>13</v>
      </c>
      <c r="C6" s="62" t="s">
        <v>14</v>
      </c>
      <c r="D6" s="63" t="s">
        <v>15</v>
      </c>
      <c r="E6" s="60"/>
      <c r="F6" s="64" t="s">
        <v>16</v>
      </c>
      <c r="G6" s="60"/>
      <c r="H6" s="60"/>
      <c r="I6" s="60"/>
    </row>
    <row r="7" spans="1:9" x14ac:dyDescent="0.35">
      <c r="A7" s="60"/>
      <c r="B7" s="64" t="s">
        <v>17</v>
      </c>
      <c r="C7" s="72" t="s">
        <v>18</v>
      </c>
      <c r="D7" s="60"/>
      <c r="E7" s="60"/>
      <c r="F7" s="60" t="s">
        <v>19</v>
      </c>
      <c r="G7" s="60"/>
      <c r="H7" s="60"/>
      <c r="I7" s="60"/>
    </row>
    <row r="8" spans="1:9" x14ac:dyDescent="0.35">
      <c r="A8" s="60"/>
      <c r="B8" s="64" t="s">
        <v>20</v>
      </c>
      <c r="C8" s="72" t="s">
        <v>18</v>
      </c>
      <c r="D8" s="60"/>
      <c r="E8" s="60"/>
      <c r="F8" s="60" t="s">
        <v>21</v>
      </c>
      <c r="G8" s="60"/>
      <c r="H8" s="60"/>
      <c r="I8" s="60"/>
    </row>
    <row r="9" spans="1:9" x14ac:dyDescent="0.35">
      <c r="A9" s="60"/>
      <c r="B9" s="64" t="s">
        <v>22</v>
      </c>
      <c r="C9" s="72" t="s">
        <v>18</v>
      </c>
      <c r="D9" s="60"/>
      <c r="E9" s="60"/>
      <c r="F9" s="60" t="s">
        <v>23</v>
      </c>
      <c r="G9" s="60"/>
      <c r="H9" s="60"/>
      <c r="I9" s="60"/>
    </row>
    <row r="10" spans="1:9" x14ac:dyDescent="0.35">
      <c r="A10" s="60"/>
      <c r="B10" s="64" t="s">
        <v>24</v>
      </c>
      <c r="C10" s="72" t="s">
        <v>18</v>
      </c>
      <c r="D10" s="60"/>
      <c r="E10" s="60"/>
      <c r="F10" s="60" t="s">
        <v>25</v>
      </c>
      <c r="G10" s="60"/>
      <c r="H10" s="60"/>
      <c r="I10" s="60"/>
    </row>
    <row r="11" spans="1:9" x14ac:dyDescent="0.35">
      <c r="A11" s="60"/>
      <c r="B11" s="64" t="s">
        <v>26</v>
      </c>
      <c r="C11" s="72" t="s">
        <v>18</v>
      </c>
      <c r="D11" s="60"/>
      <c r="E11" s="60"/>
      <c r="F11" s="60" t="s">
        <v>27</v>
      </c>
      <c r="G11" s="60"/>
      <c r="H11" s="60"/>
      <c r="I11" s="60"/>
    </row>
    <row r="12" spans="1:9" x14ac:dyDescent="0.35">
      <c r="A12" s="60"/>
      <c r="B12" s="64" t="s">
        <v>28</v>
      </c>
      <c r="C12" s="72" t="s">
        <v>18</v>
      </c>
      <c r="D12" s="60"/>
      <c r="E12" s="60"/>
      <c r="F12" s="60" t="s">
        <v>29</v>
      </c>
      <c r="G12" s="60"/>
      <c r="H12" s="60"/>
      <c r="I12" s="60"/>
    </row>
    <row r="13" spans="1:9" x14ac:dyDescent="0.35">
      <c r="A13" s="60"/>
      <c r="B13" s="64" t="s">
        <v>30</v>
      </c>
      <c r="C13" s="72" t="s">
        <v>18</v>
      </c>
      <c r="D13" s="60"/>
      <c r="E13" s="60"/>
      <c r="F13" s="60" t="s">
        <v>31</v>
      </c>
      <c r="G13" s="60"/>
      <c r="H13" s="60"/>
      <c r="I13" s="60"/>
    </row>
    <row r="14" spans="1:9" x14ac:dyDescent="0.35">
      <c r="A14" s="60"/>
      <c r="B14" s="64" t="s">
        <v>32</v>
      </c>
      <c r="C14" s="72" t="s">
        <v>18</v>
      </c>
      <c r="D14" s="60"/>
      <c r="E14" s="60"/>
      <c r="F14" s="60" t="s">
        <v>33</v>
      </c>
      <c r="G14" s="60"/>
      <c r="H14" s="60"/>
      <c r="I14" s="60"/>
    </row>
    <row r="15" spans="1:9" ht="32" customHeight="1" x14ac:dyDescent="0.35">
      <c r="A15" s="60"/>
      <c r="B15" s="64" t="s">
        <v>34</v>
      </c>
      <c r="C15" s="72" t="s">
        <v>18</v>
      </c>
      <c r="D15" s="60"/>
      <c r="E15" s="60"/>
      <c r="F15" s="60" t="s">
        <v>33</v>
      </c>
      <c r="G15" s="60"/>
      <c r="H15" s="60"/>
      <c r="I15" s="60"/>
    </row>
    <row r="16" spans="1:9" ht="32" customHeight="1" x14ac:dyDescent="0.35">
      <c r="A16" s="60"/>
      <c r="B16" s="64" t="s">
        <v>35</v>
      </c>
      <c r="C16" s="73" t="s">
        <v>36</v>
      </c>
      <c r="D16" s="60"/>
      <c r="E16" s="60"/>
      <c r="F16" s="60"/>
      <c r="G16" s="60"/>
      <c r="H16" s="60"/>
      <c r="I16" s="60"/>
    </row>
    <row r="17" spans="1:9" ht="32" customHeight="1" x14ac:dyDescent="0.35">
      <c r="A17" s="60"/>
      <c r="B17" s="64" t="s">
        <v>37</v>
      </c>
      <c r="C17" s="73" t="s">
        <v>36</v>
      </c>
      <c r="D17" s="60"/>
      <c r="E17" s="60"/>
      <c r="F17" s="60"/>
      <c r="G17" s="60"/>
      <c r="H17" s="60"/>
      <c r="I17" s="60"/>
    </row>
    <row r="18" spans="1:9" x14ac:dyDescent="0.35">
      <c r="A18" s="60"/>
      <c r="B18" s="64" t="s">
        <v>38</v>
      </c>
      <c r="C18" s="73" t="s">
        <v>36</v>
      </c>
      <c r="D18" s="60"/>
      <c r="E18" s="60"/>
      <c r="F18" s="60"/>
      <c r="G18" s="60"/>
      <c r="H18" s="60"/>
      <c r="I18" s="60"/>
    </row>
    <row r="19" spans="1:9" x14ac:dyDescent="0.35">
      <c r="A19" s="60"/>
      <c r="B19" s="60"/>
      <c r="C19" s="60"/>
      <c r="D19" s="60"/>
      <c r="E19" s="60"/>
      <c r="F19" s="60"/>
      <c r="G19" s="60"/>
      <c r="H19" s="60"/>
      <c r="I19" s="60"/>
    </row>
    <row r="20" spans="1:9" x14ac:dyDescent="0.35">
      <c r="A20" s="60"/>
      <c r="B20" s="60"/>
      <c r="C20" s="60"/>
      <c r="D20" s="60"/>
      <c r="E20" s="60"/>
      <c r="F20" s="60"/>
      <c r="G20" s="60"/>
      <c r="H20" s="60"/>
      <c r="I20" s="60"/>
    </row>
    <row r="21" spans="1:9" x14ac:dyDescent="0.35">
      <c r="A21" s="60"/>
      <c r="B21" s="60"/>
      <c r="C21" s="60"/>
      <c r="D21" s="60"/>
      <c r="E21" s="60"/>
      <c r="F21" s="60"/>
      <c r="G21" s="60"/>
      <c r="H21" s="60"/>
      <c r="I21" s="60"/>
    </row>
    <row r="22" spans="1:9" x14ac:dyDescent="0.35">
      <c r="A22" s="60"/>
      <c r="B22" s="60"/>
      <c r="C22" s="60"/>
      <c r="D22" s="60"/>
      <c r="E22" s="60"/>
      <c r="F22" s="60"/>
      <c r="G22" s="60"/>
      <c r="H22" s="60"/>
      <c r="I22" s="60"/>
    </row>
  </sheetData>
  <pageMargins left="0.7" right="0.7" top="0.75" bottom="0.75" header="0.3" footer="0.3"/>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A5FA43-335F-4628-A1F9-40AAE55E887C}">
  <dimension ref="A1:L114"/>
  <sheetViews>
    <sheetView zoomScaleNormal="100" workbookViewId="0">
      <pane ySplit="12" topLeftCell="A13" activePane="bottomLeft" state="frozen"/>
      <selection pane="bottomLeft" activeCell="XEY19" sqref="XEY19"/>
    </sheetView>
  </sheetViews>
  <sheetFormatPr defaultColWidth="10" defaultRowHeight="14.5" x14ac:dyDescent="0.35"/>
  <cols>
    <col min="1" max="1" width="27.54296875" style="2" customWidth="1"/>
    <col min="2" max="2" width="33.6328125" style="2" customWidth="1"/>
    <col min="3" max="3" width="44.36328125" style="2" customWidth="1"/>
    <col min="4" max="4" width="37.453125" style="2" customWidth="1"/>
    <col min="5" max="5" width="27.08984375" style="2" customWidth="1"/>
    <col min="6" max="6" width="12.90625" style="2" bestFit="1" customWidth="1"/>
    <col min="7" max="7" width="27" style="2" customWidth="1"/>
    <col min="8" max="8" width="39.36328125" style="2" customWidth="1"/>
    <col min="9" max="9" width="17.90625" style="2" customWidth="1"/>
    <col min="10" max="11" width="13" style="2" customWidth="1"/>
    <col min="12" max="12" width="15.36328125" customWidth="1"/>
    <col min="13" max="16379" width="9" customWidth="1"/>
    <col min="16380" max="16384" width="10" customWidth="1"/>
  </cols>
  <sheetData>
    <row r="1" spans="1:12" x14ac:dyDescent="0.35">
      <c r="A1" s="58"/>
      <c r="B1" s="58"/>
      <c r="C1" s="58"/>
      <c r="D1" s="58"/>
      <c r="E1" s="58"/>
      <c r="F1" s="58"/>
      <c r="G1" s="58"/>
      <c r="H1" s="58"/>
      <c r="I1" s="58"/>
      <c r="J1" s="58"/>
      <c r="K1" s="58"/>
      <c r="L1" s="34"/>
    </row>
    <row r="2" spans="1:12" x14ac:dyDescent="0.35">
      <c r="A2" s="58"/>
      <c r="B2" s="58"/>
      <c r="C2" s="58"/>
      <c r="D2" s="58"/>
      <c r="E2" s="58"/>
      <c r="F2" s="58"/>
      <c r="G2" s="58"/>
      <c r="H2" s="58"/>
      <c r="I2" s="58"/>
      <c r="J2" s="58"/>
      <c r="K2" s="58"/>
      <c r="L2" s="34"/>
    </row>
    <row r="3" spans="1:12" x14ac:dyDescent="0.35">
      <c r="A3" s="58"/>
      <c r="B3" s="58"/>
      <c r="C3" s="58"/>
      <c r="D3" s="58"/>
      <c r="E3" s="58"/>
      <c r="F3" s="58"/>
      <c r="G3" s="58"/>
      <c r="H3" s="58"/>
      <c r="I3" s="58"/>
      <c r="J3" s="58"/>
      <c r="K3" s="58"/>
      <c r="L3" s="34"/>
    </row>
    <row r="4" spans="1:12" x14ac:dyDescent="0.35">
      <c r="A4" s="58"/>
      <c r="B4" s="58"/>
      <c r="C4" s="58"/>
      <c r="D4" s="58"/>
      <c r="E4" s="58"/>
      <c r="F4" s="58"/>
      <c r="G4" s="58"/>
      <c r="H4" s="58"/>
      <c r="I4" s="58"/>
      <c r="J4" s="58"/>
      <c r="K4" s="58"/>
      <c r="L4" s="34"/>
    </row>
    <row r="5" spans="1:12" x14ac:dyDescent="0.35">
      <c r="A5" s="58"/>
      <c r="B5" s="58"/>
      <c r="C5" s="58"/>
      <c r="D5" s="58"/>
      <c r="E5" s="58"/>
      <c r="F5" s="58"/>
      <c r="G5" s="58"/>
      <c r="H5" s="58"/>
      <c r="I5" s="58"/>
      <c r="J5" s="58"/>
      <c r="K5" s="58"/>
      <c r="L5" s="34"/>
    </row>
    <row r="6" spans="1:12" x14ac:dyDescent="0.35">
      <c r="A6" s="58"/>
      <c r="B6" s="58"/>
      <c r="C6" s="58"/>
      <c r="D6" s="58"/>
      <c r="E6" s="58"/>
      <c r="F6" s="58"/>
      <c r="G6" s="58"/>
      <c r="H6" s="58"/>
      <c r="I6" s="58"/>
      <c r="J6" s="58"/>
      <c r="K6" s="58"/>
      <c r="L6" s="34"/>
    </row>
    <row r="7" spans="1:12" x14ac:dyDescent="0.35">
      <c r="A7" s="58"/>
      <c r="B7" s="58"/>
      <c r="C7" s="58"/>
      <c r="D7" s="58"/>
      <c r="E7" s="58"/>
      <c r="F7" s="58"/>
      <c r="G7" s="58"/>
      <c r="H7" s="58"/>
      <c r="I7" s="58"/>
      <c r="J7" s="58"/>
      <c r="K7" s="58"/>
      <c r="L7" s="34"/>
    </row>
    <row r="8" spans="1:12" x14ac:dyDescent="0.35">
      <c r="A8" s="58"/>
      <c r="B8" s="58"/>
      <c r="C8" s="58"/>
      <c r="D8" s="58"/>
      <c r="E8" s="58"/>
      <c r="F8" s="58"/>
      <c r="G8" s="58"/>
      <c r="H8" s="58"/>
      <c r="I8" s="58"/>
      <c r="J8" s="58"/>
      <c r="K8" s="58"/>
      <c r="L8" s="34"/>
    </row>
    <row r="9" spans="1:12" x14ac:dyDescent="0.35">
      <c r="A9" s="58"/>
      <c r="B9" s="58"/>
      <c r="C9" s="58"/>
      <c r="D9" s="58"/>
      <c r="E9" s="58"/>
      <c r="F9" s="58"/>
      <c r="G9" s="58"/>
      <c r="H9" s="58"/>
      <c r="I9" s="58"/>
      <c r="J9" s="58"/>
      <c r="K9" s="58"/>
      <c r="L9" s="34"/>
    </row>
    <row r="10" spans="1:12" x14ac:dyDescent="0.35">
      <c r="A10" s="58"/>
      <c r="B10" s="58"/>
      <c r="C10" s="58"/>
      <c r="D10" s="58"/>
      <c r="E10" s="58"/>
      <c r="F10" s="58"/>
      <c r="G10" s="58"/>
      <c r="H10" s="58"/>
      <c r="I10" s="58"/>
      <c r="J10" s="58"/>
      <c r="K10" s="58"/>
      <c r="L10" s="34"/>
    </row>
    <row r="11" spans="1:12" x14ac:dyDescent="0.35">
      <c r="A11" s="16"/>
      <c r="B11" s="16"/>
      <c r="C11" s="16"/>
      <c r="D11" s="16"/>
      <c r="E11" s="16"/>
      <c r="F11" s="16"/>
      <c r="G11" s="16"/>
      <c r="H11" s="16"/>
      <c r="I11" s="16"/>
      <c r="J11" s="16"/>
      <c r="K11" s="16"/>
      <c r="L11" s="15"/>
    </row>
    <row r="12" spans="1:12" ht="51" customHeight="1" x14ac:dyDescent="0.35">
      <c r="A12" s="89" t="s">
        <v>47</v>
      </c>
      <c r="B12" s="89" t="s">
        <v>48</v>
      </c>
      <c r="C12" s="89" t="s">
        <v>49</v>
      </c>
      <c r="D12" s="89" t="s">
        <v>50</v>
      </c>
      <c r="E12" s="89" t="s">
        <v>51</v>
      </c>
      <c r="F12" s="89" t="s">
        <v>52</v>
      </c>
      <c r="G12" s="89" t="s">
        <v>53</v>
      </c>
      <c r="H12" s="89" t="s">
        <v>54</v>
      </c>
      <c r="I12" s="89" t="s">
        <v>55</v>
      </c>
      <c r="J12" s="89" t="s">
        <v>56</v>
      </c>
      <c r="K12" s="89" t="s">
        <v>57</v>
      </c>
      <c r="L12" s="89" t="s">
        <v>58</v>
      </c>
    </row>
    <row r="13" spans="1:12" ht="18.5" customHeight="1" x14ac:dyDescent="0.35">
      <c r="A13" s="65" t="s">
        <v>59</v>
      </c>
      <c r="B13" s="65" t="s">
        <v>60</v>
      </c>
      <c r="C13" s="65" t="s">
        <v>61</v>
      </c>
      <c r="D13" s="65" t="s">
        <v>62</v>
      </c>
      <c r="E13" s="65"/>
      <c r="F13" s="65" t="s">
        <v>63</v>
      </c>
      <c r="G13" s="65" t="s">
        <v>64</v>
      </c>
      <c r="H13" s="65" t="s">
        <v>65</v>
      </c>
      <c r="I13" s="65"/>
      <c r="J13" s="65"/>
      <c r="K13" s="65"/>
      <c r="L13" s="65"/>
    </row>
    <row r="14" spans="1:12" ht="18.5" customHeight="1" x14ac:dyDescent="0.35">
      <c r="A14" s="66" t="s">
        <v>66</v>
      </c>
      <c r="B14" s="65" t="s">
        <v>67</v>
      </c>
      <c r="C14" s="65" t="s">
        <v>68</v>
      </c>
      <c r="D14" s="65" t="s">
        <v>62</v>
      </c>
      <c r="E14" s="65"/>
      <c r="F14" s="65" t="s">
        <v>69</v>
      </c>
      <c r="G14" s="65" t="s">
        <v>70</v>
      </c>
      <c r="H14" s="65" t="s">
        <v>65</v>
      </c>
      <c r="I14" s="65"/>
      <c r="J14" s="65"/>
      <c r="K14" s="65"/>
      <c r="L14" s="65"/>
    </row>
    <row r="15" spans="1:12" ht="18.5" customHeight="1" x14ac:dyDescent="0.35">
      <c r="A15" s="66" t="s">
        <v>71</v>
      </c>
      <c r="B15" s="65" t="s">
        <v>72</v>
      </c>
      <c r="C15" s="65" t="s">
        <v>73</v>
      </c>
      <c r="D15" s="65" t="s">
        <v>62</v>
      </c>
      <c r="E15" s="65"/>
      <c r="F15" s="65" t="s">
        <v>74</v>
      </c>
      <c r="G15" s="65" t="s">
        <v>75</v>
      </c>
      <c r="H15" s="65" t="s">
        <v>65</v>
      </c>
      <c r="I15" s="65"/>
      <c r="J15" s="65"/>
      <c r="K15" s="65"/>
      <c r="L15" s="65"/>
    </row>
    <row r="16" spans="1:12" ht="18.5" customHeight="1" x14ac:dyDescent="0.35">
      <c r="A16" s="66" t="s">
        <v>76</v>
      </c>
      <c r="B16" s="65" t="s">
        <v>77</v>
      </c>
      <c r="C16" s="65" t="s">
        <v>78</v>
      </c>
      <c r="D16" s="65" t="s">
        <v>62</v>
      </c>
      <c r="E16" s="65"/>
      <c r="F16" s="65" t="s">
        <v>74</v>
      </c>
      <c r="G16" s="65" t="s">
        <v>75</v>
      </c>
      <c r="H16" s="65" t="s">
        <v>65</v>
      </c>
      <c r="I16" s="65"/>
      <c r="J16" s="65"/>
      <c r="K16" s="65"/>
      <c r="L16" s="65"/>
    </row>
    <row r="17" spans="1:12" ht="18.5" customHeight="1" x14ac:dyDescent="0.35">
      <c r="A17" s="66" t="s">
        <v>79</v>
      </c>
      <c r="B17" s="65" t="s">
        <v>80</v>
      </c>
      <c r="C17" s="65" t="s">
        <v>73</v>
      </c>
      <c r="D17" s="65" t="s">
        <v>62</v>
      </c>
      <c r="E17" s="65"/>
      <c r="F17" s="65" t="s">
        <v>63</v>
      </c>
      <c r="G17" s="65" t="s">
        <v>81</v>
      </c>
      <c r="H17" s="65" t="s">
        <v>65</v>
      </c>
      <c r="I17" s="65"/>
      <c r="J17" s="65"/>
      <c r="K17" s="65"/>
      <c r="L17" s="65"/>
    </row>
    <row r="18" spans="1:12" ht="18.5" customHeight="1" x14ac:dyDescent="0.35">
      <c r="A18" s="66" t="s">
        <v>82</v>
      </c>
      <c r="B18" s="65" t="s">
        <v>83</v>
      </c>
      <c r="C18" s="65" t="s">
        <v>84</v>
      </c>
      <c r="D18" s="65" t="s">
        <v>62</v>
      </c>
      <c r="E18" s="65"/>
      <c r="F18" s="65" t="s">
        <v>85</v>
      </c>
      <c r="G18" s="65" t="s">
        <v>81</v>
      </c>
      <c r="H18" s="65" t="s">
        <v>65</v>
      </c>
      <c r="I18" s="65"/>
      <c r="J18" s="65"/>
      <c r="K18" s="65"/>
      <c r="L18" s="65"/>
    </row>
    <row r="19" spans="1:12" ht="18.5" customHeight="1" x14ac:dyDescent="0.35">
      <c r="A19" s="66" t="s">
        <v>86</v>
      </c>
      <c r="B19" s="65" t="s">
        <v>87</v>
      </c>
      <c r="C19" s="65" t="s">
        <v>84</v>
      </c>
      <c r="D19" s="65" t="s">
        <v>62</v>
      </c>
      <c r="E19" s="65"/>
      <c r="F19" s="65" t="s">
        <v>63</v>
      </c>
      <c r="G19" s="65" t="s">
        <v>81</v>
      </c>
      <c r="H19" s="65" t="s">
        <v>65</v>
      </c>
      <c r="I19" s="65"/>
      <c r="J19" s="65"/>
      <c r="K19" s="65"/>
      <c r="L19" s="65"/>
    </row>
    <row r="20" spans="1:12" ht="18.5" customHeight="1" x14ac:dyDescent="0.35">
      <c r="A20" s="66" t="s">
        <v>88</v>
      </c>
      <c r="B20" s="65" t="s">
        <v>89</v>
      </c>
      <c r="C20" s="65" t="s">
        <v>90</v>
      </c>
      <c r="D20" s="65" t="s">
        <v>62</v>
      </c>
      <c r="E20" s="65"/>
      <c r="F20" s="65" t="s">
        <v>63</v>
      </c>
      <c r="G20" s="65" t="s">
        <v>81</v>
      </c>
      <c r="H20" s="65" t="s">
        <v>65</v>
      </c>
      <c r="I20" s="65"/>
      <c r="J20" s="65"/>
      <c r="K20" s="65"/>
      <c r="L20" s="65"/>
    </row>
    <row r="21" spans="1:12" ht="18.5" customHeight="1" x14ac:dyDescent="0.35">
      <c r="A21" s="66" t="s">
        <v>91</v>
      </c>
      <c r="B21" s="65" t="s">
        <v>92</v>
      </c>
      <c r="C21" s="65" t="s">
        <v>93</v>
      </c>
      <c r="D21" s="65" t="s">
        <v>62</v>
      </c>
      <c r="E21" s="65"/>
      <c r="F21" s="65" t="s">
        <v>69</v>
      </c>
      <c r="G21" s="65" t="s">
        <v>81</v>
      </c>
      <c r="H21" s="65" t="s">
        <v>65</v>
      </c>
      <c r="I21" s="65"/>
      <c r="J21" s="65"/>
      <c r="K21" s="65"/>
      <c r="L21" s="65"/>
    </row>
    <row r="22" spans="1:12" ht="18.5" customHeight="1" x14ac:dyDescent="0.35">
      <c r="A22" s="66" t="s">
        <v>94</v>
      </c>
      <c r="B22" s="65" t="s">
        <v>95</v>
      </c>
      <c r="C22" s="65" t="s">
        <v>96</v>
      </c>
      <c r="D22" s="65" t="s">
        <v>62</v>
      </c>
      <c r="E22" s="65"/>
      <c r="F22" s="65" t="s">
        <v>63</v>
      </c>
      <c r="G22" s="65" t="s">
        <v>81</v>
      </c>
      <c r="H22" s="65" t="s">
        <v>65</v>
      </c>
      <c r="I22" s="65"/>
      <c r="J22" s="65"/>
      <c r="K22" s="65"/>
      <c r="L22" s="65"/>
    </row>
    <row r="23" spans="1:12" ht="18.5" customHeight="1" x14ac:dyDescent="0.35">
      <c r="A23" s="66" t="s">
        <v>97</v>
      </c>
      <c r="B23" s="65" t="s">
        <v>98</v>
      </c>
      <c r="C23" s="65" t="s">
        <v>99</v>
      </c>
      <c r="D23" s="65" t="s">
        <v>62</v>
      </c>
      <c r="E23" s="65"/>
      <c r="F23" s="65" t="s">
        <v>63</v>
      </c>
      <c r="G23" s="65" t="s">
        <v>81</v>
      </c>
      <c r="H23" s="65" t="s">
        <v>65</v>
      </c>
      <c r="I23" s="65"/>
      <c r="J23" s="65"/>
      <c r="K23" s="65"/>
      <c r="L23" s="65"/>
    </row>
    <row r="24" spans="1:12" ht="18.5" customHeight="1" x14ac:dyDescent="0.35">
      <c r="A24" s="66" t="s">
        <v>100</v>
      </c>
      <c r="B24" s="65" t="s">
        <v>101</v>
      </c>
      <c r="C24" s="65" t="s">
        <v>99</v>
      </c>
      <c r="D24" s="65" t="s">
        <v>62</v>
      </c>
      <c r="E24" s="65"/>
      <c r="F24" s="65" t="s">
        <v>63</v>
      </c>
      <c r="G24" s="65" t="s">
        <v>81</v>
      </c>
      <c r="H24" s="65" t="s">
        <v>65</v>
      </c>
      <c r="I24" s="65"/>
      <c r="J24" s="65"/>
      <c r="K24" s="65"/>
      <c r="L24" s="65"/>
    </row>
    <row r="25" spans="1:12" ht="18.5" customHeight="1" x14ac:dyDescent="0.35">
      <c r="A25" s="66" t="s">
        <v>102</v>
      </c>
      <c r="B25" s="65" t="s">
        <v>103</v>
      </c>
      <c r="C25" s="65" t="s">
        <v>78</v>
      </c>
      <c r="D25" s="65" t="s">
        <v>62</v>
      </c>
      <c r="E25" s="65"/>
      <c r="F25" s="65" t="s">
        <v>63</v>
      </c>
      <c r="G25" s="65" t="s">
        <v>81</v>
      </c>
      <c r="H25" s="65" t="s">
        <v>65</v>
      </c>
      <c r="I25" s="65"/>
      <c r="J25" s="65"/>
      <c r="K25" s="65"/>
      <c r="L25" s="65"/>
    </row>
    <row r="26" spans="1:12" ht="18.5" customHeight="1" x14ac:dyDescent="0.35">
      <c r="A26" s="66" t="s">
        <v>104</v>
      </c>
      <c r="B26" s="65" t="s">
        <v>105</v>
      </c>
      <c r="C26" s="65" t="s">
        <v>106</v>
      </c>
      <c r="D26" s="65" t="s">
        <v>62</v>
      </c>
      <c r="E26" s="65"/>
      <c r="F26" s="65" t="s">
        <v>85</v>
      </c>
      <c r="G26" s="65" t="s">
        <v>107</v>
      </c>
      <c r="H26" s="65" t="s">
        <v>65</v>
      </c>
      <c r="I26" s="65"/>
      <c r="J26" s="65"/>
      <c r="K26" s="65"/>
      <c r="L26" s="65"/>
    </row>
    <row r="27" spans="1:12" ht="18.5" customHeight="1" x14ac:dyDescent="0.35">
      <c r="A27" s="66" t="s">
        <v>108</v>
      </c>
      <c r="B27" s="65" t="s">
        <v>109</v>
      </c>
      <c r="C27" s="65" t="s">
        <v>106</v>
      </c>
      <c r="D27" s="65" t="s">
        <v>62</v>
      </c>
      <c r="E27" s="65"/>
      <c r="F27" s="65" t="s">
        <v>110</v>
      </c>
      <c r="G27" s="65" t="s">
        <v>107</v>
      </c>
      <c r="H27" s="65" t="s">
        <v>65</v>
      </c>
      <c r="I27" s="65"/>
      <c r="J27" s="65"/>
      <c r="K27" s="65"/>
      <c r="L27" s="65"/>
    </row>
    <row r="28" spans="1:12" ht="18.5" customHeight="1" x14ac:dyDescent="0.35">
      <c r="A28" s="66" t="s">
        <v>111</v>
      </c>
      <c r="B28" s="65" t="s">
        <v>112</v>
      </c>
      <c r="C28" s="65" t="s">
        <v>113</v>
      </c>
      <c r="D28" s="65" t="s">
        <v>62</v>
      </c>
      <c r="E28" s="65"/>
      <c r="F28" s="65" t="s">
        <v>85</v>
      </c>
      <c r="G28" s="65" t="s">
        <v>114</v>
      </c>
      <c r="H28" s="65" t="s">
        <v>65</v>
      </c>
      <c r="I28" s="65"/>
      <c r="J28" s="65"/>
      <c r="K28" s="65"/>
      <c r="L28" s="65"/>
    </row>
    <row r="29" spans="1:12" ht="18.5" customHeight="1" x14ac:dyDescent="0.35">
      <c r="A29" s="66" t="s">
        <v>115</v>
      </c>
      <c r="B29" s="65" t="s">
        <v>116</v>
      </c>
      <c r="C29" s="65" t="s">
        <v>113</v>
      </c>
      <c r="D29" s="65" t="s">
        <v>62</v>
      </c>
      <c r="E29" s="65"/>
      <c r="F29" s="65" t="s">
        <v>85</v>
      </c>
      <c r="G29" s="65" t="s">
        <v>114</v>
      </c>
      <c r="H29" s="65" t="s">
        <v>65</v>
      </c>
      <c r="I29" s="65"/>
      <c r="J29" s="65"/>
      <c r="K29" s="65"/>
      <c r="L29" s="65"/>
    </row>
    <row r="30" spans="1:12" ht="18.5" customHeight="1" x14ac:dyDescent="0.35">
      <c r="A30" s="66" t="s">
        <v>117</v>
      </c>
      <c r="B30" s="65" t="s">
        <v>118</v>
      </c>
      <c r="C30" s="65" t="s">
        <v>119</v>
      </c>
      <c r="D30" s="65" t="s">
        <v>62</v>
      </c>
      <c r="E30" s="65"/>
      <c r="F30" s="65" t="s">
        <v>110</v>
      </c>
      <c r="G30" s="65" t="s">
        <v>120</v>
      </c>
      <c r="H30" s="65" t="s">
        <v>65</v>
      </c>
      <c r="I30" s="65"/>
      <c r="J30" s="65"/>
      <c r="K30" s="65"/>
      <c r="L30" s="65"/>
    </row>
    <row r="31" spans="1:12" ht="18.5" customHeight="1" x14ac:dyDescent="0.35">
      <c r="A31" s="66" t="s">
        <v>121</v>
      </c>
      <c r="B31" s="65" t="s">
        <v>122</v>
      </c>
      <c r="C31" s="65" t="s">
        <v>119</v>
      </c>
      <c r="D31" s="65" t="s">
        <v>62</v>
      </c>
      <c r="E31" s="65"/>
      <c r="F31" s="65" t="s">
        <v>110</v>
      </c>
      <c r="G31" s="65" t="s">
        <v>120</v>
      </c>
      <c r="H31" s="65" t="s">
        <v>65</v>
      </c>
      <c r="I31" s="65"/>
      <c r="J31" s="65"/>
      <c r="K31" s="65"/>
      <c r="L31" s="65"/>
    </row>
    <row r="32" spans="1:12" ht="18.5" customHeight="1" x14ac:dyDescent="0.35">
      <c r="A32" s="66" t="s">
        <v>123</v>
      </c>
      <c r="B32" s="65" t="s">
        <v>124</v>
      </c>
      <c r="C32" s="65" t="s">
        <v>125</v>
      </c>
      <c r="D32" s="65" t="s">
        <v>62</v>
      </c>
      <c r="E32" s="65"/>
      <c r="F32" s="65" t="s">
        <v>110</v>
      </c>
      <c r="G32" s="65" t="s">
        <v>120</v>
      </c>
      <c r="H32" s="65" t="s">
        <v>65</v>
      </c>
      <c r="I32" s="65"/>
      <c r="J32" s="65"/>
      <c r="K32" s="65"/>
      <c r="L32" s="65"/>
    </row>
    <row r="33" spans="1:12" ht="18.5" customHeight="1" x14ac:dyDescent="0.35">
      <c r="A33" s="66" t="s">
        <v>126</v>
      </c>
      <c r="B33" s="65" t="s">
        <v>127</v>
      </c>
      <c r="C33" s="65" t="s">
        <v>73</v>
      </c>
      <c r="D33" s="65" t="s">
        <v>62</v>
      </c>
      <c r="E33" s="65"/>
      <c r="F33" s="65" t="s">
        <v>110</v>
      </c>
      <c r="G33" s="65" t="s">
        <v>120</v>
      </c>
      <c r="H33" s="65" t="s">
        <v>65</v>
      </c>
      <c r="I33" s="65"/>
      <c r="J33" s="65"/>
      <c r="K33" s="65"/>
      <c r="L33" s="65"/>
    </row>
    <row r="34" spans="1:12" ht="18.5" customHeight="1" x14ac:dyDescent="0.35">
      <c r="A34" s="66" t="s">
        <v>128</v>
      </c>
      <c r="B34" s="65" t="s">
        <v>129</v>
      </c>
      <c r="C34" s="65" t="s">
        <v>130</v>
      </c>
      <c r="D34" s="65" t="s">
        <v>62</v>
      </c>
      <c r="E34" s="65"/>
      <c r="F34" s="65" t="s">
        <v>110</v>
      </c>
      <c r="G34" s="65" t="s">
        <v>120</v>
      </c>
      <c r="H34" s="65" t="s">
        <v>65</v>
      </c>
      <c r="I34" s="65"/>
      <c r="J34" s="65"/>
      <c r="K34" s="65"/>
      <c r="L34" s="65"/>
    </row>
    <row r="35" spans="1:12" ht="18.5" customHeight="1" x14ac:dyDescent="0.35">
      <c r="A35" s="66" t="s">
        <v>131</v>
      </c>
      <c r="B35" s="65" t="s">
        <v>132</v>
      </c>
      <c r="C35" s="65" t="s">
        <v>133</v>
      </c>
      <c r="D35" s="65" t="s">
        <v>62</v>
      </c>
      <c r="E35" s="65"/>
      <c r="F35" s="65" t="s">
        <v>110</v>
      </c>
      <c r="G35" s="65" t="s">
        <v>120</v>
      </c>
      <c r="H35" s="65" t="s">
        <v>65</v>
      </c>
      <c r="I35" s="65"/>
      <c r="J35" s="65"/>
      <c r="K35" s="65"/>
      <c r="L35" s="65"/>
    </row>
    <row r="36" spans="1:12" ht="18.5" customHeight="1" x14ac:dyDescent="0.35">
      <c r="A36" s="66" t="s">
        <v>134</v>
      </c>
      <c r="B36" s="65" t="s">
        <v>135</v>
      </c>
      <c r="C36" s="65" t="s">
        <v>113</v>
      </c>
      <c r="D36" s="65" t="s">
        <v>62</v>
      </c>
      <c r="E36" s="65"/>
      <c r="F36" s="65" t="s">
        <v>110</v>
      </c>
      <c r="G36" s="65" t="s">
        <v>120</v>
      </c>
      <c r="H36" s="65" t="s">
        <v>65</v>
      </c>
      <c r="I36" s="65"/>
      <c r="J36" s="65"/>
      <c r="K36" s="65"/>
      <c r="L36" s="65"/>
    </row>
    <row r="37" spans="1:12" ht="18.5" customHeight="1" x14ac:dyDescent="0.35">
      <c r="A37" s="66" t="s">
        <v>136</v>
      </c>
      <c r="B37" s="65" t="s">
        <v>137</v>
      </c>
      <c r="C37" s="65" t="s">
        <v>138</v>
      </c>
      <c r="D37" s="65" t="s">
        <v>62</v>
      </c>
      <c r="E37" s="65"/>
      <c r="F37" s="65" t="s">
        <v>110</v>
      </c>
      <c r="G37" s="65" t="s">
        <v>120</v>
      </c>
      <c r="H37" s="65" t="s">
        <v>65</v>
      </c>
      <c r="I37" s="65"/>
      <c r="J37" s="65"/>
      <c r="K37" s="65"/>
      <c r="L37" s="65"/>
    </row>
    <row r="38" spans="1:12" ht="18.5" customHeight="1" x14ac:dyDescent="0.35">
      <c r="A38" s="66" t="s">
        <v>139</v>
      </c>
      <c r="B38" s="65" t="s">
        <v>140</v>
      </c>
      <c r="C38" s="65" t="s">
        <v>78</v>
      </c>
      <c r="D38" s="65" t="s">
        <v>62</v>
      </c>
      <c r="E38" s="65"/>
      <c r="F38" s="65" t="s">
        <v>110</v>
      </c>
      <c r="G38" s="65" t="s">
        <v>120</v>
      </c>
      <c r="H38" s="65" t="s">
        <v>65</v>
      </c>
      <c r="I38" s="65"/>
      <c r="J38" s="65"/>
      <c r="K38" s="65"/>
      <c r="L38" s="65"/>
    </row>
    <row r="39" spans="1:12" ht="18.5" customHeight="1" x14ac:dyDescent="0.35">
      <c r="A39" s="66" t="s">
        <v>141</v>
      </c>
      <c r="B39" s="65" t="s">
        <v>142</v>
      </c>
      <c r="C39" s="65" t="s">
        <v>143</v>
      </c>
      <c r="D39" s="65" t="s">
        <v>62</v>
      </c>
      <c r="E39" s="65"/>
      <c r="F39" s="65" t="s">
        <v>110</v>
      </c>
      <c r="G39" s="65" t="s">
        <v>120</v>
      </c>
      <c r="H39" s="65" t="s">
        <v>65</v>
      </c>
      <c r="I39" s="65"/>
      <c r="J39" s="65"/>
      <c r="K39" s="65"/>
      <c r="L39" s="65"/>
    </row>
    <row r="40" spans="1:12" ht="18.5" customHeight="1" x14ac:dyDescent="0.35">
      <c r="A40" s="66" t="s">
        <v>144</v>
      </c>
      <c r="B40" s="65" t="s">
        <v>145</v>
      </c>
      <c r="C40" s="65" t="s">
        <v>146</v>
      </c>
      <c r="D40" s="65" t="s">
        <v>62</v>
      </c>
      <c r="E40" s="65"/>
      <c r="F40" s="65" t="s">
        <v>110</v>
      </c>
      <c r="G40" s="65" t="s">
        <v>120</v>
      </c>
      <c r="H40" s="65" t="s">
        <v>65</v>
      </c>
      <c r="I40" s="65"/>
      <c r="J40" s="65"/>
      <c r="K40" s="65"/>
      <c r="L40" s="65"/>
    </row>
    <row r="41" spans="1:12" ht="18.5" customHeight="1" x14ac:dyDescent="0.35">
      <c r="A41" s="66" t="s">
        <v>147</v>
      </c>
      <c r="B41" s="65" t="s">
        <v>148</v>
      </c>
      <c r="C41" s="65" t="s">
        <v>113</v>
      </c>
      <c r="D41" s="65" t="s">
        <v>62</v>
      </c>
      <c r="E41" s="65"/>
      <c r="F41" s="65" t="s">
        <v>85</v>
      </c>
      <c r="G41" s="65" t="s">
        <v>149</v>
      </c>
      <c r="H41" s="65" t="s">
        <v>65</v>
      </c>
      <c r="I41" s="65"/>
      <c r="J41" s="65"/>
      <c r="K41" s="65"/>
      <c r="L41" s="65"/>
    </row>
    <row r="42" spans="1:12" ht="18.5" customHeight="1" x14ac:dyDescent="0.35">
      <c r="A42" s="66" t="s">
        <v>150</v>
      </c>
      <c r="B42" s="65" t="s">
        <v>151</v>
      </c>
      <c r="C42" s="65" t="s">
        <v>133</v>
      </c>
      <c r="D42" s="65" t="s">
        <v>62</v>
      </c>
      <c r="E42" s="65"/>
      <c r="F42" s="65" t="s">
        <v>85</v>
      </c>
      <c r="G42" s="65" t="s">
        <v>152</v>
      </c>
      <c r="H42" s="65" t="s">
        <v>65</v>
      </c>
      <c r="I42" s="65"/>
      <c r="J42" s="65"/>
      <c r="K42" s="65"/>
      <c r="L42" s="65"/>
    </row>
    <row r="43" spans="1:12" ht="18.5" customHeight="1" x14ac:dyDescent="0.35">
      <c r="A43" s="66"/>
      <c r="B43" s="65"/>
      <c r="C43" s="65"/>
      <c r="D43" s="65"/>
      <c r="E43" s="65"/>
      <c r="F43" s="65"/>
      <c r="G43" s="65"/>
      <c r="H43" s="65"/>
      <c r="I43" s="65"/>
      <c r="J43" s="65"/>
      <c r="K43" s="65"/>
      <c r="L43" s="65"/>
    </row>
    <row r="44" spans="1:12" ht="18.5" customHeight="1" x14ac:dyDescent="0.35">
      <c r="A44" s="66"/>
      <c r="B44" s="65"/>
      <c r="C44" s="65"/>
      <c r="D44" s="65"/>
      <c r="E44" s="65"/>
      <c r="F44" s="65"/>
      <c r="G44" s="65"/>
      <c r="H44" s="65"/>
      <c r="I44" s="65"/>
      <c r="J44" s="65"/>
      <c r="K44" s="65"/>
      <c r="L44" s="65"/>
    </row>
    <row r="45" spans="1:12" ht="18.5" customHeight="1" x14ac:dyDescent="0.35">
      <c r="A45" s="66"/>
      <c r="B45" s="65"/>
      <c r="C45" s="65"/>
      <c r="D45" s="65"/>
      <c r="E45" s="65"/>
      <c r="F45" s="65"/>
      <c r="G45" s="65"/>
      <c r="H45" s="65"/>
      <c r="I45" s="65"/>
      <c r="J45" s="65"/>
      <c r="K45" s="65"/>
      <c r="L45" s="65"/>
    </row>
    <row r="46" spans="1:12" ht="18.5" customHeight="1" x14ac:dyDescent="0.35">
      <c r="A46" s="66"/>
      <c r="B46" s="65"/>
      <c r="C46" s="65"/>
      <c r="D46" s="65"/>
      <c r="E46" s="65"/>
      <c r="F46" s="65"/>
      <c r="G46" s="65"/>
      <c r="H46" s="65"/>
      <c r="I46" s="65"/>
      <c r="J46" s="65"/>
      <c r="K46" s="65"/>
      <c r="L46" s="65"/>
    </row>
    <row r="47" spans="1:12" ht="18.5" customHeight="1" x14ac:dyDescent="0.35">
      <c r="A47" s="66"/>
      <c r="B47" s="65"/>
      <c r="C47" s="65"/>
      <c r="D47" s="65"/>
      <c r="E47" s="65"/>
      <c r="F47" s="65"/>
      <c r="G47" s="65"/>
      <c r="H47" s="65"/>
      <c r="I47" s="65"/>
      <c r="J47" s="65"/>
      <c r="K47" s="65"/>
      <c r="L47" s="65"/>
    </row>
    <row r="48" spans="1:12" ht="18.5" customHeight="1" x14ac:dyDescent="0.35">
      <c r="A48" s="66"/>
      <c r="B48" s="65"/>
      <c r="C48" s="65"/>
      <c r="D48" s="65"/>
      <c r="E48" s="65"/>
      <c r="F48" s="65"/>
      <c r="G48" s="65"/>
      <c r="H48" s="65"/>
      <c r="I48" s="65"/>
      <c r="J48" s="65"/>
      <c r="K48" s="65"/>
      <c r="L48" s="65"/>
    </row>
    <row r="49" spans="1:12" ht="18.5" customHeight="1" x14ac:dyDescent="0.35">
      <c r="A49" s="66"/>
      <c r="B49" s="65"/>
      <c r="C49" s="65"/>
      <c r="D49" s="65"/>
      <c r="E49" s="65"/>
      <c r="F49" s="65"/>
      <c r="G49" s="65"/>
      <c r="H49" s="65"/>
      <c r="I49" s="65"/>
      <c r="J49" s="65"/>
      <c r="K49" s="65"/>
      <c r="L49" s="65"/>
    </row>
    <row r="50" spans="1:12" ht="18.5" customHeight="1" x14ac:dyDescent="0.35">
      <c r="A50" s="66"/>
      <c r="B50" s="65"/>
      <c r="C50" s="65"/>
      <c r="D50" s="65"/>
      <c r="E50" s="65"/>
      <c r="F50" s="65"/>
      <c r="G50" s="65"/>
      <c r="H50" s="65"/>
      <c r="I50" s="65"/>
      <c r="J50" s="65"/>
      <c r="K50" s="65"/>
      <c r="L50" s="65"/>
    </row>
    <row r="51" spans="1:12" ht="18.5" customHeight="1" x14ac:dyDescent="0.35">
      <c r="A51" s="66"/>
      <c r="B51" s="65"/>
      <c r="C51" s="65"/>
      <c r="D51" s="65"/>
      <c r="E51" s="65"/>
      <c r="F51" s="65"/>
      <c r="G51" s="65"/>
      <c r="H51" s="65"/>
      <c r="I51" s="65"/>
      <c r="J51" s="65"/>
      <c r="K51" s="65"/>
      <c r="L51" s="65"/>
    </row>
    <row r="52" spans="1:12" ht="18.5" customHeight="1" x14ac:dyDescent="0.35">
      <c r="A52" s="66"/>
      <c r="B52" s="65"/>
      <c r="C52" s="65"/>
      <c r="D52" s="65"/>
      <c r="E52" s="65"/>
      <c r="F52" s="65"/>
      <c r="G52" s="65"/>
      <c r="H52" s="65"/>
      <c r="I52" s="65"/>
      <c r="J52" s="65"/>
      <c r="K52" s="65"/>
      <c r="L52" s="65"/>
    </row>
    <row r="53" spans="1:12" ht="18.5" customHeight="1" x14ac:dyDescent="0.35">
      <c r="A53" s="66"/>
      <c r="B53" s="65"/>
      <c r="C53" s="65"/>
      <c r="D53" s="65"/>
      <c r="E53" s="65"/>
      <c r="F53" s="65"/>
      <c r="G53" s="65"/>
      <c r="H53" s="65"/>
      <c r="I53" s="65"/>
      <c r="J53" s="65"/>
      <c r="K53" s="65"/>
      <c r="L53" s="65"/>
    </row>
    <row r="54" spans="1:12" ht="18.5" customHeight="1" x14ac:dyDescent="0.35">
      <c r="A54" s="66"/>
      <c r="B54" s="65"/>
      <c r="C54" s="65"/>
      <c r="D54" s="65"/>
      <c r="E54" s="65"/>
      <c r="F54" s="65"/>
      <c r="G54" s="65"/>
      <c r="H54" s="65"/>
      <c r="I54" s="65"/>
      <c r="J54" s="65"/>
      <c r="K54" s="65"/>
      <c r="L54" s="65"/>
    </row>
    <row r="55" spans="1:12" ht="18.5" customHeight="1" x14ac:dyDescent="0.35">
      <c r="A55" s="66"/>
      <c r="B55" s="65"/>
      <c r="C55" s="65"/>
      <c r="D55" s="65"/>
      <c r="E55" s="65"/>
      <c r="F55" s="65"/>
      <c r="G55" s="65"/>
      <c r="H55" s="65"/>
      <c r="I55" s="65"/>
      <c r="J55" s="65"/>
      <c r="K55" s="65"/>
      <c r="L55" s="65"/>
    </row>
    <row r="56" spans="1:12" ht="18.5" customHeight="1" x14ac:dyDescent="0.35">
      <c r="A56" s="66"/>
      <c r="B56" s="65"/>
      <c r="C56" s="65"/>
      <c r="D56" s="65"/>
      <c r="E56" s="65"/>
      <c r="F56" s="65"/>
      <c r="G56" s="65"/>
      <c r="H56" s="65"/>
      <c r="I56" s="65"/>
      <c r="J56" s="65"/>
      <c r="K56" s="65"/>
      <c r="L56" s="65"/>
    </row>
    <row r="57" spans="1:12" ht="18.5" customHeight="1" x14ac:dyDescent="0.35">
      <c r="A57" s="66"/>
      <c r="B57" s="65"/>
      <c r="C57" s="65"/>
      <c r="D57" s="65"/>
      <c r="E57" s="65"/>
      <c r="F57" s="65"/>
      <c r="G57" s="65"/>
      <c r="H57" s="65"/>
      <c r="I57" s="65"/>
      <c r="J57" s="65"/>
      <c r="K57" s="65"/>
      <c r="L57" s="65"/>
    </row>
    <row r="58" spans="1:12" ht="18.5" customHeight="1" x14ac:dyDescent="0.35">
      <c r="A58" s="66"/>
      <c r="B58" s="65"/>
      <c r="C58" s="65"/>
      <c r="D58" s="65"/>
      <c r="E58" s="65"/>
      <c r="F58" s="65"/>
      <c r="G58" s="65"/>
      <c r="H58" s="65"/>
      <c r="I58" s="65"/>
      <c r="J58" s="65"/>
      <c r="K58" s="65"/>
      <c r="L58" s="65"/>
    </row>
    <row r="59" spans="1:12" ht="18.5" customHeight="1" x14ac:dyDescent="0.35">
      <c r="A59" s="66"/>
      <c r="B59" s="65"/>
      <c r="C59" s="65"/>
      <c r="D59" s="65"/>
      <c r="E59" s="65"/>
      <c r="F59" s="65"/>
      <c r="G59" s="65"/>
      <c r="H59" s="65"/>
      <c r="I59" s="65"/>
      <c r="J59" s="65"/>
      <c r="K59" s="65"/>
      <c r="L59" s="65"/>
    </row>
    <row r="60" spans="1:12" ht="18.5" customHeight="1" x14ac:dyDescent="0.35">
      <c r="A60" s="66"/>
      <c r="B60" s="65"/>
      <c r="C60" s="65"/>
      <c r="D60" s="65"/>
      <c r="E60" s="65"/>
      <c r="F60" s="65"/>
      <c r="G60" s="65"/>
      <c r="H60" s="65"/>
      <c r="I60" s="65"/>
      <c r="J60" s="65"/>
      <c r="K60" s="65"/>
      <c r="L60" s="65"/>
    </row>
    <row r="61" spans="1:12" ht="18.5" customHeight="1" x14ac:dyDescent="0.35">
      <c r="A61" s="66"/>
      <c r="B61" s="65"/>
      <c r="C61" s="65"/>
      <c r="D61" s="65"/>
      <c r="E61" s="65"/>
      <c r="F61" s="65"/>
      <c r="G61" s="65"/>
      <c r="H61" s="65"/>
      <c r="I61" s="65"/>
      <c r="J61" s="65"/>
      <c r="K61" s="65"/>
      <c r="L61" s="65"/>
    </row>
    <row r="62" spans="1:12" ht="18.5" customHeight="1" x14ac:dyDescent="0.35">
      <c r="A62" s="66"/>
      <c r="B62" s="65"/>
      <c r="C62" s="65"/>
      <c r="D62" s="65"/>
      <c r="E62" s="65"/>
      <c r="F62" s="65"/>
      <c r="G62" s="65"/>
      <c r="H62" s="65"/>
      <c r="I62" s="65"/>
      <c r="J62" s="65"/>
      <c r="K62" s="65"/>
      <c r="L62" s="65"/>
    </row>
    <row r="63" spans="1:12" ht="18.5" customHeight="1" x14ac:dyDescent="0.35">
      <c r="A63" s="66"/>
      <c r="B63" s="65"/>
      <c r="C63" s="65"/>
      <c r="D63" s="65"/>
      <c r="E63" s="65"/>
      <c r="F63" s="65"/>
      <c r="G63" s="65"/>
      <c r="H63" s="65"/>
      <c r="I63" s="65"/>
      <c r="J63" s="65"/>
      <c r="K63" s="65"/>
      <c r="L63" s="65"/>
    </row>
    <row r="64" spans="1:12" ht="18.5" customHeight="1" x14ac:dyDescent="0.35">
      <c r="A64" s="66"/>
      <c r="B64" s="65"/>
      <c r="C64" s="65"/>
      <c r="D64" s="65"/>
      <c r="E64" s="65"/>
      <c r="F64" s="65"/>
      <c r="G64" s="65"/>
      <c r="H64" s="65"/>
      <c r="I64" s="65"/>
      <c r="J64" s="65"/>
      <c r="K64" s="65"/>
      <c r="L64" s="65"/>
    </row>
    <row r="65" spans="1:12" ht="18.5" customHeight="1" x14ac:dyDescent="0.35">
      <c r="A65" s="66"/>
      <c r="B65" s="65"/>
      <c r="C65" s="65"/>
      <c r="D65" s="65"/>
      <c r="E65" s="65"/>
      <c r="F65" s="65"/>
      <c r="G65" s="65"/>
      <c r="H65" s="65"/>
      <c r="I65" s="65"/>
      <c r="J65" s="65"/>
      <c r="K65" s="65"/>
      <c r="L65" s="65"/>
    </row>
    <row r="66" spans="1:12" ht="18.5" customHeight="1" x14ac:dyDescent="0.35">
      <c r="A66" s="66"/>
      <c r="B66" s="65"/>
      <c r="C66" s="65"/>
      <c r="D66" s="65"/>
      <c r="E66" s="65"/>
      <c r="F66" s="65"/>
      <c r="G66" s="65"/>
      <c r="H66" s="65"/>
      <c r="I66" s="65"/>
      <c r="J66" s="65"/>
      <c r="K66" s="65"/>
      <c r="L66" s="65"/>
    </row>
    <row r="67" spans="1:12" ht="18.5" customHeight="1" x14ac:dyDescent="0.35">
      <c r="A67" s="66"/>
      <c r="B67" s="65"/>
      <c r="C67" s="65"/>
      <c r="D67" s="65"/>
      <c r="E67" s="65"/>
      <c r="F67" s="65"/>
      <c r="G67" s="65"/>
      <c r="H67" s="65"/>
      <c r="I67" s="65"/>
      <c r="J67" s="65"/>
      <c r="K67" s="65"/>
      <c r="L67" s="65"/>
    </row>
    <row r="68" spans="1:12" ht="18.5" customHeight="1" x14ac:dyDescent="0.35">
      <c r="A68" s="66"/>
      <c r="B68" s="65"/>
      <c r="C68" s="65"/>
      <c r="D68" s="65"/>
      <c r="E68" s="65"/>
      <c r="F68" s="65"/>
      <c r="G68" s="65"/>
      <c r="H68" s="65"/>
      <c r="I68" s="65"/>
      <c r="J68" s="65"/>
      <c r="K68" s="65"/>
      <c r="L68" s="65"/>
    </row>
    <row r="69" spans="1:12" ht="18.5" customHeight="1" x14ac:dyDescent="0.35">
      <c r="A69" s="66"/>
      <c r="B69" s="65"/>
      <c r="C69" s="65"/>
      <c r="D69" s="65"/>
      <c r="E69" s="65"/>
      <c r="F69" s="65"/>
      <c r="G69" s="65"/>
      <c r="H69" s="65"/>
      <c r="I69" s="65"/>
      <c r="J69" s="65"/>
      <c r="K69" s="65"/>
      <c r="L69" s="65"/>
    </row>
    <row r="70" spans="1:12" ht="18.5" customHeight="1" x14ac:dyDescent="0.35">
      <c r="A70" s="66"/>
      <c r="B70" s="65"/>
      <c r="C70" s="65"/>
      <c r="D70" s="65"/>
      <c r="E70" s="65"/>
      <c r="F70" s="65"/>
      <c r="G70" s="65"/>
      <c r="H70" s="65"/>
      <c r="I70" s="65"/>
      <c r="J70" s="65"/>
      <c r="K70" s="65"/>
      <c r="L70" s="65"/>
    </row>
    <row r="71" spans="1:12" ht="18.5" customHeight="1" x14ac:dyDescent="0.35">
      <c r="A71" s="66"/>
      <c r="B71" s="65"/>
      <c r="C71" s="65"/>
      <c r="D71" s="65"/>
      <c r="E71" s="65"/>
      <c r="F71" s="65"/>
      <c r="G71" s="65"/>
      <c r="H71" s="65"/>
      <c r="I71" s="65"/>
      <c r="J71" s="65"/>
      <c r="K71" s="65"/>
      <c r="L71" s="65"/>
    </row>
    <row r="72" spans="1:12" ht="18.5" customHeight="1" x14ac:dyDescent="0.35">
      <c r="A72" s="66"/>
      <c r="B72" s="65"/>
      <c r="C72" s="65"/>
      <c r="D72" s="65"/>
      <c r="E72" s="65"/>
      <c r="F72" s="65"/>
      <c r="G72" s="65"/>
      <c r="H72" s="65"/>
      <c r="I72" s="65"/>
      <c r="J72" s="65"/>
      <c r="K72" s="65"/>
      <c r="L72" s="65"/>
    </row>
    <row r="73" spans="1:12" ht="18.5" customHeight="1" x14ac:dyDescent="0.35">
      <c r="A73" s="66"/>
      <c r="B73" s="65"/>
      <c r="C73" s="65"/>
      <c r="D73" s="65"/>
      <c r="E73" s="65"/>
      <c r="F73" s="65"/>
      <c r="G73" s="65"/>
      <c r="H73" s="65"/>
      <c r="I73" s="65"/>
      <c r="J73" s="65"/>
      <c r="K73" s="65"/>
      <c r="L73" s="65"/>
    </row>
    <row r="74" spans="1:12" ht="18.5" customHeight="1" x14ac:dyDescent="0.35">
      <c r="A74" s="66"/>
      <c r="B74" s="65"/>
      <c r="C74" s="65"/>
      <c r="D74" s="65"/>
      <c r="E74" s="65"/>
      <c r="F74" s="65"/>
      <c r="G74" s="65"/>
      <c r="H74" s="65"/>
      <c r="I74" s="65"/>
      <c r="J74" s="65"/>
      <c r="K74" s="65"/>
      <c r="L74" s="65"/>
    </row>
    <row r="75" spans="1:12" ht="18.5" customHeight="1" x14ac:dyDescent="0.35">
      <c r="A75" s="66"/>
      <c r="B75" s="65"/>
      <c r="C75" s="65"/>
      <c r="D75" s="65"/>
      <c r="E75" s="65"/>
      <c r="F75" s="65"/>
      <c r="G75" s="65"/>
      <c r="H75" s="65"/>
      <c r="I75" s="65"/>
      <c r="J75" s="65"/>
      <c r="K75" s="65"/>
      <c r="L75" s="65"/>
    </row>
    <row r="76" spans="1:12" ht="18.5" customHeight="1" x14ac:dyDescent="0.35">
      <c r="A76" s="66"/>
      <c r="B76" s="65"/>
      <c r="C76" s="65"/>
      <c r="D76" s="65"/>
      <c r="E76" s="65"/>
      <c r="F76" s="65"/>
      <c r="G76" s="65"/>
      <c r="H76" s="65"/>
      <c r="I76" s="65"/>
      <c r="J76" s="65"/>
      <c r="K76" s="65"/>
      <c r="L76" s="65"/>
    </row>
    <row r="77" spans="1:12" ht="18.5" customHeight="1" x14ac:dyDescent="0.35">
      <c r="A77" s="66"/>
      <c r="B77" s="65"/>
      <c r="C77" s="65"/>
      <c r="D77" s="65"/>
      <c r="E77" s="65"/>
      <c r="F77" s="65"/>
      <c r="G77" s="65"/>
      <c r="H77" s="65"/>
      <c r="I77" s="65"/>
      <c r="J77" s="65"/>
      <c r="K77" s="65"/>
      <c r="L77" s="65"/>
    </row>
    <row r="78" spans="1:12" ht="18.5" customHeight="1" x14ac:dyDescent="0.35">
      <c r="A78" s="66"/>
      <c r="B78" s="65"/>
      <c r="C78" s="65"/>
      <c r="D78" s="65"/>
      <c r="E78" s="65"/>
      <c r="F78" s="65"/>
      <c r="G78" s="65"/>
      <c r="H78" s="65"/>
      <c r="I78" s="65"/>
      <c r="J78" s="65"/>
      <c r="K78" s="65"/>
      <c r="L78" s="65"/>
    </row>
    <row r="79" spans="1:12" ht="18.5" customHeight="1" x14ac:dyDescent="0.35">
      <c r="A79" s="66"/>
      <c r="B79" s="65"/>
      <c r="C79" s="65"/>
      <c r="D79" s="65"/>
      <c r="E79" s="65"/>
      <c r="F79" s="65"/>
      <c r="G79" s="65"/>
      <c r="H79" s="65"/>
      <c r="I79" s="65"/>
      <c r="J79" s="65"/>
      <c r="K79" s="65"/>
      <c r="L79" s="65"/>
    </row>
    <row r="80" spans="1:12" ht="18.5" customHeight="1" x14ac:dyDescent="0.35">
      <c r="A80" s="66"/>
      <c r="B80" s="65"/>
      <c r="C80" s="65"/>
      <c r="D80" s="65"/>
      <c r="E80" s="65"/>
      <c r="F80" s="65"/>
      <c r="G80" s="65"/>
      <c r="H80" s="65"/>
      <c r="I80" s="65"/>
      <c r="J80" s="65"/>
      <c r="K80" s="65"/>
      <c r="L80" s="65"/>
    </row>
    <row r="81" spans="1:12" ht="18.5" customHeight="1" x14ac:dyDescent="0.35">
      <c r="A81" s="66"/>
      <c r="B81" s="65"/>
      <c r="C81" s="65"/>
      <c r="D81" s="65"/>
      <c r="E81" s="65"/>
      <c r="F81" s="65"/>
      <c r="G81" s="65"/>
      <c r="H81" s="65"/>
      <c r="I81" s="65"/>
      <c r="J81" s="65"/>
      <c r="K81" s="65"/>
      <c r="L81" s="65"/>
    </row>
    <row r="82" spans="1:12" ht="18.5" customHeight="1" x14ac:dyDescent="0.35">
      <c r="A82" s="66"/>
      <c r="B82" s="65"/>
      <c r="C82" s="65"/>
      <c r="D82" s="65"/>
      <c r="E82" s="65"/>
      <c r="F82" s="65"/>
      <c r="G82" s="65"/>
      <c r="H82" s="65"/>
      <c r="I82" s="65"/>
      <c r="J82" s="65"/>
      <c r="K82" s="65"/>
      <c r="L82" s="65"/>
    </row>
    <row r="83" spans="1:12" ht="18.5" customHeight="1" x14ac:dyDescent="0.35">
      <c r="A83" s="66"/>
      <c r="B83" s="65"/>
      <c r="C83" s="65"/>
      <c r="D83" s="65"/>
      <c r="E83" s="65"/>
      <c r="F83" s="65"/>
      <c r="G83" s="65"/>
      <c r="H83" s="65"/>
      <c r="I83" s="65"/>
      <c r="J83" s="65"/>
      <c r="K83" s="65"/>
      <c r="L83" s="65"/>
    </row>
    <row r="84" spans="1:12" ht="18.5" customHeight="1" x14ac:dyDescent="0.35">
      <c r="A84" s="66"/>
      <c r="B84" s="65"/>
      <c r="C84" s="65"/>
      <c r="D84" s="65"/>
      <c r="E84" s="65"/>
      <c r="F84" s="65"/>
      <c r="G84" s="65"/>
      <c r="H84" s="65"/>
      <c r="I84" s="65"/>
      <c r="J84" s="65"/>
      <c r="K84" s="65"/>
      <c r="L84" s="65"/>
    </row>
    <row r="85" spans="1:12" ht="18.5" customHeight="1" x14ac:dyDescent="0.35">
      <c r="A85" s="66"/>
      <c r="B85" s="65"/>
      <c r="C85" s="65"/>
      <c r="D85" s="65"/>
      <c r="E85" s="65"/>
      <c r="F85" s="65"/>
      <c r="G85" s="65"/>
      <c r="H85" s="65"/>
      <c r="I85" s="65"/>
      <c r="J85" s="65"/>
      <c r="K85" s="65"/>
      <c r="L85" s="65"/>
    </row>
    <row r="86" spans="1:12" ht="18.5" customHeight="1" x14ac:dyDescent="0.35">
      <c r="A86" s="66"/>
      <c r="B86" s="65"/>
      <c r="C86" s="65"/>
      <c r="D86" s="65"/>
      <c r="E86" s="65"/>
      <c r="F86" s="65"/>
      <c r="G86" s="65"/>
      <c r="H86" s="65"/>
      <c r="I86" s="65"/>
      <c r="J86" s="65"/>
      <c r="K86" s="65"/>
      <c r="L86" s="65"/>
    </row>
    <row r="87" spans="1:12" ht="18.5" customHeight="1" x14ac:dyDescent="0.35">
      <c r="A87" s="66"/>
      <c r="B87" s="65"/>
      <c r="C87" s="65"/>
      <c r="D87" s="65"/>
      <c r="E87" s="65"/>
      <c r="F87" s="65"/>
      <c r="G87" s="65"/>
      <c r="H87" s="65"/>
      <c r="I87" s="65"/>
      <c r="J87" s="65"/>
      <c r="K87" s="65"/>
      <c r="L87" s="65"/>
    </row>
    <row r="88" spans="1:12" ht="18.5" customHeight="1" x14ac:dyDescent="0.35">
      <c r="A88" s="66"/>
      <c r="B88" s="65"/>
      <c r="C88" s="65"/>
      <c r="D88" s="65"/>
      <c r="E88" s="65"/>
      <c r="F88" s="65"/>
      <c r="G88" s="65"/>
      <c r="H88" s="65"/>
      <c r="I88" s="65"/>
      <c r="J88" s="65"/>
      <c r="K88" s="65"/>
      <c r="L88" s="65"/>
    </row>
    <row r="89" spans="1:12" ht="18.5" customHeight="1" x14ac:dyDescent="0.35">
      <c r="A89" s="66"/>
      <c r="B89" s="65"/>
      <c r="C89" s="65"/>
      <c r="D89" s="65"/>
      <c r="E89" s="65"/>
      <c r="F89" s="65"/>
      <c r="G89" s="65"/>
      <c r="H89" s="65"/>
      <c r="I89" s="65"/>
      <c r="J89" s="65"/>
      <c r="K89" s="65"/>
      <c r="L89" s="65"/>
    </row>
    <row r="90" spans="1:12" ht="18.5" customHeight="1" x14ac:dyDescent="0.35">
      <c r="A90" s="66"/>
      <c r="B90" s="65"/>
      <c r="C90" s="65"/>
      <c r="D90" s="65"/>
      <c r="E90" s="65"/>
      <c r="F90" s="65"/>
      <c r="G90" s="65"/>
      <c r="H90" s="65"/>
      <c r="I90" s="65"/>
      <c r="J90" s="65"/>
      <c r="K90" s="65"/>
      <c r="L90" s="65"/>
    </row>
    <row r="91" spans="1:12" ht="18.5" customHeight="1" x14ac:dyDescent="0.35">
      <c r="A91" s="66"/>
      <c r="B91" s="65"/>
      <c r="C91" s="65"/>
      <c r="D91" s="65"/>
      <c r="E91" s="65"/>
      <c r="F91" s="65"/>
      <c r="G91" s="65"/>
      <c r="H91" s="65"/>
      <c r="I91" s="65"/>
      <c r="J91" s="65"/>
      <c r="K91" s="65"/>
      <c r="L91" s="65"/>
    </row>
    <row r="92" spans="1:12" ht="18.5" customHeight="1" x14ac:dyDescent="0.35">
      <c r="A92" s="66"/>
      <c r="B92" s="65"/>
      <c r="C92" s="65"/>
      <c r="D92" s="65"/>
      <c r="E92" s="65"/>
      <c r="F92" s="65"/>
      <c r="G92" s="65"/>
      <c r="H92" s="65"/>
      <c r="I92" s="65"/>
      <c r="J92" s="65"/>
      <c r="K92" s="65"/>
      <c r="L92" s="65"/>
    </row>
    <row r="93" spans="1:12" ht="18.5" customHeight="1" x14ac:dyDescent="0.35">
      <c r="A93" s="66"/>
      <c r="B93" s="65"/>
      <c r="C93" s="65"/>
      <c r="D93" s="65"/>
      <c r="E93" s="65"/>
      <c r="F93" s="65"/>
      <c r="G93" s="65"/>
      <c r="H93" s="65"/>
      <c r="I93" s="65"/>
      <c r="J93" s="65"/>
      <c r="K93" s="65"/>
      <c r="L93" s="65"/>
    </row>
    <row r="94" spans="1:12" ht="18.5" customHeight="1" x14ac:dyDescent="0.35">
      <c r="A94" s="66"/>
      <c r="B94" s="65"/>
      <c r="C94" s="65"/>
      <c r="D94" s="65"/>
      <c r="E94" s="65"/>
      <c r="F94" s="65"/>
      <c r="G94" s="65"/>
      <c r="H94" s="65"/>
      <c r="I94" s="65"/>
      <c r="J94" s="65"/>
      <c r="K94" s="65"/>
      <c r="L94" s="65"/>
    </row>
    <row r="95" spans="1:12" ht="18.5" customHeight="1" x14ac:dyDescent="0.35">
      <c r="A95" s="66"/>
      <c r="B95" s="65"/>
      <c r="C95" s="65"/>
      <c r="D95" s="65"/>
      <c r="E95" s="65"/>
      <c r="F95" s="65"/>
      <c r="G95" s="65"/>
      <c r="H95" s="65"/>
      <c r="I95" s="65"/>
      <c r="J95" s="65"/>
      <c r="K95" s="65"/>
      <c r="L95" s="65"/>
    </row>
    <row r="96" spans="1:12" ht="18.5" customHeight="1" x14ac:dyDescent="0.35">
      <c r="A96" s="66"/>
      <c r="B96" s="65"/>
      <c r="C96" s="65"/>
      <c r="D96" s="65"/>
      <c r="E96" s="65"/>
      <c r="F96" s="65"/>
      <c r="G96" s="65"/>
      <c r="H96" s="65"/>
      <c r="I96" s="65"/>
      <c r="J96" s="65"/>
      <c r="K96" s="65"/>
      <c r="L96" s="65"/>
    </row>
    <row r="97" spans="1:12" ht="18.5" customHeight="1" x14ac:dyDescent="0.35">
      <c r="A97" s="66"/>
      <c r="B97" s="65"/>
      <c r="C97" s="65"/>
      <c r="D97" s="65"/>
      <c r="E97" s="65"/>
      <c r="F97" s="65"/>
      <c r="G97" s="65"/>
      <c r="H97" s="65"/>
      <c r="I97" s="65"/>
      <c r="J97" s="65"/>
      <c r="K97" s="65"/>
      <c r="L97" s="65"/>
    </row>
    <row r="98" spans="1:12" ht="18.5" customHeight="1" x14ac:dyDescent="0.35">
      <c r="A98" s="66"/>
      <c r="B98" s="65"/>
      <c r="C98" s="65"/>
      <c r="D98" s="65"/>
      <c r="E98" s="65"/>
      <c r="F98" s="65"/>
      <c r="G98" s="65"/>
      <c r="H98" s="65"/>
      <c r="I98" s="65"/>
      <c r="J98" s="65"/>
      <c r="K98" s="65"/>
      <c r="L98" s="65"/>
    </row>
    <row r="99" spans="1:12" ht="18.5" customHeight="1" x14ac:dyDescent="0.35">
      <c r="A99" s="66"/>
      <c r="B99" s="65"/>
      <c r="C99" s="65"/>
      <c r="D99" s="65"/>
      <c r="E99" s="65"/>
      <c r="F99" s="65"/>
      <c r="G99" s="65"/>
      <c r="H99" s="65"/>
      <c r="I99" s="65"/>
      <c r="J99" s="65"/>
      <c r="K99" s="65"/>
      <c r="L99" s="65"/>
    </row>
    <row r="100" spans="1:12" ht="18.5" customHeight="1" x14ac:dyDescent="0.35">
      <c r="A100" s="66"/>
      <c r="B100" s="65"/>
      <c r="C100" s="65"/>
      <c r="D100" s="65"/>
      <c r="E100" s="65"/>
      <c r="F100" s="65"/>
      <c r="G100" s="65"/>
      <c r="H100" s="65"/>
      <c r="I100" s="65"/>
      <c r="J100" s="65"/>
      <c r="K100" s="65"/>
      <c r="L100" s="65"/>
    </row>
    <row r="101" spans="1:12" ht="18.5" customHeight="1" x14ac:dyDescent="0.35">
      <c r="A101" s="66"/>
      <c r="B101" s="65"/>
      <c r="C101" s="65"/>
      <c r="D101" s="65"/>
      <c r="E101" s="65"/>
      <c r="F101" s="65"/>
      <c r="G101" s="65"/>
      <c r="H101" s="65"/>
      <c r="I101" s="65"/>
      <c r="J101" s="65"/>
      <c r="K101" s="65"/>
      <c r="L101" s="65"/>
    </row>
    <row r="102" spans="1:12" ht="18.5" customHeight="1" x14ac:dyDescent="0.35">
      <c r="A102" s="66"/>
      <c r="B102" s="65"/>
      <c r="C102" s="65"/>
      <c r="D102" s="65"/>
      <c r="E102" s="65"/>
      <c r="F102" s="65"/>
      <c r="G102" s="65"/>
      <c r="H102" s="65"/>
      <c r="I102" s="65"/>
      <c r="J102" s="65"/>
      <c r="K102" s="65"/>
      <c r="L102" s="65"/>
    </row>
    <row r="103" spans="1:12" ht="18.5" customHeight="1" x14ac:dyDescent="0.35">
      <c r="A103" s="66"/>
      <c r="B103" s="65"/>
      <c r="C103" s="65"/>
      <c r="D103" s="65"/>
      <c r="E103" s="65"/>
      <c r="F103" s="65"/>
      <c r="G103" s="65"/>
      <c r="H103" s="65"/>
      <c r="I103" s="65"/>
      <c r="J103" s="65"/>
      <c r="K103" s="65"/>
      <c r="L103" s="65"/>
    </row>
    <row r="104" spans="1:12" ht="18.5" customHeight="1" x14ac:dyDescent="0.35">
      <c r="A104" s="66"/>
      <c r="B104" s="65"/>
      <c r="C104" s="65"/>
      <c r="D104" s="65"/>
      <c r="E104" s="65"/>
      <c r="F104" s="65"/>
      <c r="G104" s="65"/>
      <c r="H104" s="65"/>
      <c r="I104" s="65"/>
      <c r="J104" s="65"/>
      <c r="K104" s="65"/>
      <c r="L104" s="65"/>
    </row>
    <row r="105" spans="1:12" ht="18.5" customHeight="1" x14ac:dyDescent="0.35">
      <c r="A105" s="66"/>
      <c r="B105" s="65"/>
      <c r="C105" s="65"/>
      <c r="D105" s="65"/>
      <c r="E105" s="65"/>
      <c r="F105" s="65"/>
      <c r="G105" s="65"/>
      <c r="H105" s="65"/>
      <c r="I105" s="65"/>
      <c r="J105" s="65"/>
      <c r="K105" s="65"/>
      <c r="L105" s="65"/>
    </row>
    <row r="106" spans="1:12" ht="18.5" customHeight="1" x14ac:dyDescent="0.35">
      <c r="A106" s="66"/>
      <c r="B106" s="65"/>
      <c r="C106" s="65"/>
      <c r="D106" s="65"/>
      <c r="E106" s="65"/>
      <c r="F106" s="65"/>
      <c r="G106" s="65"/>
      <c r="H106" s="65"/>
      <c r="I106" s="65"/>
      <c r="J106" s="65"/>
      <c r="K106" s="65"/>
      <c r="L106" s="65"/>
    </row>
    <row r="107" spans="1:12" ht="18.5" customHeight="1" x14ac:dyDescent="0.35">
      <c r="A107" s="66"/>
      <c r="B107" s="65"/>
      <c r="C107" s="65"/>
      <c r="D107" s="65"/>
      <c r="E107" s="65"/>
      <c r="F107" s="65"/>
      <c r="G107" s="65"/>
      <c r="H107" s="65"/>
      <c r="I107" s="65"/>
      <c r="J107" s="65"/>
      <c r="K107" s="65"/>
      <c r="L107" s="65"/>
    </row>
    <row r="108" spans="1:12" ht="18.5" customHeight="1" x14ac:dyDescent="0.35">
      <c r="A108" s="66"/>
      <c r="B108" s="65"/>
      <c r="C108" s="65"/>
      <c r="D108" s="65"/>
      <c r="E108" s="65"/>
      <c r="F108" s="65"/>
      <c r="G108" s="65"/>
      <c r="H108" s="65"/>
      <c r="I108" s="65"/>
      <c r="J108" s="65"/>
      <c r="K108" s="65"/>
      <c r="L108" s="65"/>
    </row>
    <row r="109" spans="1:12" ht="18.5" customHeight="1" x14ac:dyDescent="0.35">
      <c r="A109" s="66"/>
      <c r="B109" s="65"/>
      <c r="C109" s="65"/>
      <c r="D109" s="65"/>
      <c r="E109" s="65"/>
      <c r="F109" s="65"/>
      <c r="G109" s="65"/>
      <c r="H109" s="65"/>
      <c r="I109" s="65"/>
      <c r="J109" s="65"/>
      <c r="K109" s="65"/>
      <c r="L109" s="65"/>
    </row>
    <row r="110" spans="1:12" ht="18.5" customHeight="1" x14ac:dyDescent="0.35">
      <c r="A110" s="66"/>
      <c r="B110" s="65"/>
      <c r="C110" s="65"/>
      <c r="D110" s="65"/>
      <c r="E110" s="65"/>
      <c r="F110" s="65"/>
      <c r="G110" s="65"/>
      <c r="H110" s="65"/>
      <c r="I110" s="65"/>
      <c r="J110" s="65"/>
      <c r="K110" s="65"/>
      <c r="L110" s="65"/>
    </row>
    <row r="111" spans="1:12" ht="18.5" customHeight="1" x14ac:dyDescent="0.35">
      <c r="A111" s="66"/>
      <c r="B111" s="65"/>
      <c r="C111" s="65"/>
      <c r="D111" s="65"/>
      <c r="E111" s="65"/>
      <c r="F111" s="65"/>
      <c r="G111" s="65"/>
      <c r="H111" s="65"/>
      <c r="I111" s="65"/>
      <c r="J111" s="65"/>
      <c r="K111" s="65"/>
      <c r="L111" s="65"/>
    </row>
    <row r="112" spans="1:12" ht="18.5" customHeight="1" x14ac:dyDescent="0.35">
      <c r="A112" s="66"/>
      <c r="B112" s="65"/>
      <c r="C112" s="65"/>
      <c r="D112" s="65"/>
      <c r="E112" s="65"/>
      <c r="F112" s="65"/>
      <c r="G112" s="65"/>
      <c r="H112" s="65"/>
      <c r="I112" s="65"/>
      <c r="J112" s="65"/>
      <c r="K112" s="65"/>
      <c r="L112" s="65"/>
    </row>
    <row r="113" spans="1:12" ht="18.5" customHeight="1" x14ac:dyDescent="0.35">
      <c r="A113" s="66"/>
      <c r="B113" s="65"/>
      <c r="C113" s="65"/>
      <c r="D113" s="65"/>
      <c r="E113" s="65"/>
      <c r="F113" s="65"/>
      <c r="G113" s="65"/>
      <c r="H113" s="65"/>
      <c r="I113" s="65"/>
      <c r="J113" s="65"/>
      <c r="K113" s="65"/>
      <c r="L113" s="65"/>
    </row>
    <row r="114" spans="1:12" ht="18.5" customHeight="1" x14ac:dyDescent="0.35">
      <c r="A114" s="66"/>
      <c r="B114" s="65"/>
      <c r="C114" s="65"/>
      <c r="D114" s="65"/>
      <c r="E114" s="65"/>
      <c r="F114" s="65"/>
      <c r="G114" s="65"/>
      <c r="H114" s="65"/>
      <c r="I114" s="65"/>
      <c r="J114" s="65"/>
      <c r="K114" s="65"/>
      <c r="L114" s="65"/>
    </row>
  </sheetData>
  <phoneticPr fontId="24" type="noConversion"/>
  <pageMargins left="0.7" right="0.7" top="0.75" bottom="0.75" header="0.3" footer="0.3"/>
  <drawing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0E4093-42BB-44ED-A96C-85BBE5DA1826}">
  <dimension ref="A1:I38"/>
  <sheetViews>
    <sheetView zoomScaleNormal="100" workbookViewId="0">
      <pane ySplit="10" topLeftCell="A11" activePane="bottomLeft" state="frozen"/>
      <selection pane="bottomLeft" activeCell="I10" sqref="I10"/>
    </sheetView>
  </sheetViews>
  <sheetFormatPr defaultColWidth="9" defaultRowHeight="14.5" x14ac:dyDescent="0.35"/>
  <cols>
    <col min="1" max="1" width="26.90625" customWidth="1"/>
    <col min="2" max="2" width="45.54296875" style="1" customWidth="1"/>
    <col min="3" max="3" width="23" style="1" customWidth="1"/>
    <col min="4" max="4" width="21.36328125" style="1" bestFit="1" customWidth="1"/>
    <col min="5" max="5" width="24.36328125" style="1" customWidth="1"/>
    <col min="6" max="6" width="32.453125" style="1" customWidth="1"/>
    <col min="7" max="7" width="37.90625" style="4" customWidth="1"/>
    <col min="8" max="8" width="59.54296875" style="1" customWidth="1"/>
    <col min="9" max="16383" width="9" customWidth="1"/>
  </cols>
  <sheetData>
    <row r="1" spans="1:9" x14ac:dyDescent="0.35">
      <c r="A1" s="74">
        <f>COUNTIFS('4.ImpactedResourcesAnalysis'!A:A,"Reviewed")</f>
        <v>28</v>
      </c>
      <c r="B1" s="81"/>
      <c r="C1" s="32"/>
      <c r="D1" s="32"/>
      <c r="E1" s="32"/>
      <c r="F1" s="32"/>
      <c r="G1" s="32"/>
      <c r="H1" s="75"/>
      <c r="I1" s="75"/>
    </row>
    <row r="2" spans="1:9" x14ac:dyDescent="0.35">
      <c r="A2" s="74">
        <f>COUNTIFS('4.ImpactedResourcesAnalysis'!A:A,"&lt;&gt;Reviewed",'4.ImpactedResourcesAnalysis'!A:A,"&lt;&gt;")-1</f>
        <v>61</v>
      </c>
      <c r="B2" s="81"/>
      <c r="C2" s="32"/>
      <c r="D2" s="32"/>
      <c r="E2" s="32"/>
      <c r="F2" s="32"/>
      <c r="G2" s="32"/>
      <c r="H2" s="75"/>
      <c r="I2" s="75"/>
    </row>
    <row r="3" spans="1:9" ht="14.25" customHeight="1" x14ac:dyDescent="0.35">
      <c r="A3" s="74">
        <f>COUNTIFS('5.PlatformIssuesAnalysis'!A:A,"Reviewed")</f>
        <v>0</v>
      </c>
      <c r="B3" s="81"/>
      <c r="C3" s="32"/>
      <c r="D3" s="32"/>
      <c r="E3" s="32"/>
      <c r="F3" s="32"/>
      <c r="G3" s="32"/>
      <c r="H3" s="75"/>
      <c r="I3" s="75"/>
    </row>
    <row r="4" spans="1:9" ht="26.9" customHeight="1" x14ac:dyDescent="0.35">
      <c r="A4" s="74">
        <f>COUNTIFS('5.PlatformIssuesAnalysis'!A:A,"&lt;&gt;Reviewed",'5.PlatformIssuesAnalysis'!A:A,"&lt;&gt;")-1</f>
        <v>1</v>
      </c>
      <c r="B4" s="82"/>
      <c r="C4" s="53"/>
      <c r="D4" s="53"/>
      <c r="E4" s="54"/>
      <c r="F4" s="53"/>
      <c r="G4" s="53"/>
      <c r="H4" s="75"/>
      <c r="I4" s="75"/>
    </row>
    <row r="5" spans="1:9" ht="26.9" customHeight="1" x14ac:dyDescent="0.35">
      <c r="A5" s="74">
        <f>COUNTIFS('6.SupportRequestsAnalysis'!A:A,"Reviewed")</f>
        <v>0</v>
      </c>
      <c r="B5" s="83"/>
      <c r="C5" s="56"/>
      <c r="D5" s="53"/>
      <c r="E5" s="55"/>
      <c r="F5" s="92"/>
      <c r="G5" s="93"/>
      <c r="H5" s="75"/>
      <c r="I5" s="75"/>
    </row>
    <row r="6" spans="1:9" ht="26.9" customHeight="1" x14ac:dyDescent="0.35">
      <c r="A6" s="74">
        <f>COUNTIFS('6.SupportRequestsAnalysis'!A:A,"&lt;&gt;Reviewed",'6.SupportRequestsAnalysis'!A:A,"&lt;&gt;")-1</f>
        <v>1</v>
      </c>
      <c r="B6" s="83"/>
      <c r="C6" s="56"/>
      <c r="D6" s="53"/>
      <c r="E6" s="55"/>
      <c r="F6" s="92"/>
      <c r="G6" s="93"/>
      <c r="H6" s="75"/>
      <c r="I6" s="75"/>
    </row>
    <row r="7" spans="1:9" ht="26.9" customHeight="1" x14ac:dyDescent="0.35">
      <c r="A7" s="76"/>
      <c r="B7" s="57"/>
      <c r="C7" s="57"/>
      <c r="D7" s="57"/>
      <c r="E7" s="57"/>
      <c r="F7" s="92"/>
      <c r="G7" s="93"/>
      <c r="H7" s="32"/>
      <c r="I7" s="32"/>
    </row>
    <row r="8" spans="1:9" ht="26.9" customHeight="1" x14ac:dyDescent="0.35">
      <c r="A8" s="32"/>
      <c r="B8" s="52"/>
      <c r="C8" s="32"/>
      <c r="D8" s="32"/>
      <c r="E8" s="52"/>
      <c r="F8" s="92"/>
      <c r="G8" s="93"/>
      <c r="H8" s="32"/>
      <c r="I8" s="32"/>
    </row>
    <row r="9" spans="1:9" ht="16" x14ac:dyDescent="0.35">
      <c r="A9" s="14"/>
      <c r="B9" s="14"/>
      <c r="C9" s="14"/>
      <c r="D9" s="14"/>
      <c r="E9" s="14"/>
      <c r="F9" s="14"/>
      <c r="G9" s="14"/>
      <c r="H9" s="14"/>
      <c r="I9" s="14"/>
    </row>
    <row r="10" spans="1:9" ht="38.25" customHeight="1" x14ac:dyDescent="0.35">
      <c r="A10" s="90" t="s">
        <v>168</v>
      </c>
      <c r="B10" s="90" t="s">
        <v>155</v>
      </c>
      <c r="C10" s="90" t="s">
        <v>509</v>
      </c>
      <c r="D10" s="90" t="s">
        <v>510</v>
      </c>
      <c r="E10" s="90" t="s">
        <v>511</v>
      </c>
      <c r="F10" s="90" t="s">
        <v>512</v>
      </c>
      <c r="G10" s="90" t="s">
        <v>513</v>
      </c>
      <c r="H10" s="90" t="s">
        <v>174</v>
      </c>
      <c r="I10" s="90"/>
    </row>
    <row r="11" spans="1:9" x14ac:dyDescent="0.35">
      <c r="A11" s="3" t="s">
        <v>510</v>
      </c>
      <c r="B11" s="4" t="s">
        <v>119</v>
      </c>
      <c r="C11" s="4" cm="1">
        <f t="array" ref="C11">COUNTA(_xlfn.UNIQUE(_xlfn.VSTACK(_xlfn._xlws.FILTER('2.WorkloadInventory'!A:A, '2.WorkloadInventory'!C:C = TableTypes8[[#This Row],[Resource Type]]), _xlfn._xlws.FILTER('2.WorkloadInventory'!A:A, '2.WorkloadInventory'!C:C = TableTypes8[[#This Row],[Resource Type]]))))</f>
        <v>2</v>
      </c>
      <c r="D11" s="4" cm="1">
        <f t="array" ref="D11">IF(COUNTIF('4.ImpactedResourcesAnalysis'!C:C, TableTypes8[[#This Row],[Resource Type]])=0, 0, COUNTA(_xlfn.UNIQUE(_xlfn._xlws.FILTER('4.ImpactedResourcesAnalysis'!H:H, ('4.ImpactedResourcesAnalysis'!C:C=TableTypes8[[#This Row],[Resource Type]]) * ('4.ImpactedResourcesAnalysis'!H:H&lt;&gt;"Get ResourceID from Azure Portal")))))</f>
        <v>2</v>
      </c>
      <c r="E11" s="5" t="s">
        <v>514</v>
      </c>
      <c r="F11" s="7"/>
      <c r="G11" s="5" t="str">
        <f>IF(OR(AND(TableTypes8[[#This Row],[Category]]="Support Requests", COUNTIFS('6.SupportRequestsAnalysis'!A:A, "&lt;&gt;Reviewed")=0),AND(TableTypes8[[#This Row],[Category]]="Platform Issues", COUNTIFS('5.PlatformIssuesAnalysis'!A:A, "&lt;&gt;Reviewed")=0),AND(TableTypes8[[#This Row],[Category]]="Impacted Resources", COUNTIFS('4.ImpactedResourcesAnalysis'!A:A, "&lt;&gt;Reviewed", '4.ImpactedResourcesAnalysis'!C:C, TableTypes8[[#This Row],[Resource Type]], '4.ImpactedResourcesAnalysis'!O:O, "&lt;&gt;Low")=0)), "Reviewed", "Pending")</f>
        <v>Pending</v>
      </c>
      <c r="H11" s="4"/>
    </row>
    <row r="12" spans="1:9" x14ac:dyDescent="0.35">
      <c r="A12" s="3" t="s">
        <v>510</v>
      </c>
      <c r="B12" s="4" t="s">
        <v>348</v>
      </c>
      <c r="C12" s="4" cm="1">
        <f t="array" ref="C12">COUNTA(_xlfn.UNIQUE(_xlfn.VSTACK(_xlfn._xlws.FILTER('2.WorkloadInventory'!A:A, '2.WorkloadInventory'!C:C = TableTypes8[[#This Row],[Resource Type]]), _xlfn._xlws.FILTER('2.WorkloadInventory'!A:A, '2.WorkloadInventory'!C:C = TableTypes8[[#This Row],[Resource Type]]))))</f>
        <v>1</v>
      </c>
      <c r="D12" s="4" cm="1">
        <f t="array" ref="D12">IF(COUNTIF('4.ImpactedResourcesAnalysis'!C:C, TableTypes8[[#This Row],[Resource Type]])=0, 0, COUNTA(_xlfn.UNIQUE(_xlfn._xlws.FILTER('4.ImpactedResourcesAnalysis'!H:H, ('4.ImpactedResourcesAnalysis'!C:C=TableTypes8[[#This Row],[Resource Type]]) * ('4.ImpactedResourcesAnalysis'!H:H&lt;&gt;"Get ResourceID from Azure Portal")))))</f>
        <v>1</v>
      </c>
      <c r="E12" s="5" t="s">
        <v>514</v>
      </c>
      <c r="F12" s="7"/>
      <c r="G12" s="5" t="str">
        <f>IF(OR(AND(TableTypes8[[#This Row],[Category]]="Support Requests", COUNTIFS('6.SupportRequestsAnalysis'!A:A, "&lt;&gt;Reviewed")=0),AND(TableTypes8[[#This Row],[Category]]="Platform Issues", COUNTIFS('5.PlatformIssuesAnalysis'!A:A, "&lt;&gt;Reviewed")=0),AND(TableTypes8[[#This Row],[Category]]="Impacted Resources", COUNTIFS('4.ImpactedResourcesAnalysis'!A:A, "&lt;&gt;Reviewed", '4.ImpactedResourcesAnalysis'!C:C, TableTypes8[[#This Row],[Resource Type]], '4.ImpactedResourcesAnalysis'!O:O, "&lt;&gt;Low")=0)), "Reviewed", "Pending")</f>
        <v>Pending</v>
      </c>
      <c r="H12" s="4"/>
    </row>
    <row r="13" spans="1:9" x14ac:dyDescent="0.35">
      <c r="A13" s="3" t="s">
        <v>510</v>
      </c>
      <c r="B13" s="5" t="s">
        <v>73</v>
      </c>
      <c r="C13" s="4" cm="1">
        <f t="array" ref="C13">COUNTA(_xlfn.UNIQUE(_xlfn.VSTACK(_xlfn._xlws.FILTER('2.WorkloadInventory'!A:A, '2.WorkloadInventory'!C:C = TableTypes8[[#This Row],[Resource Type]]), _xlfn._xlws.FILTER('2.WorkloadInventory'!A:A, '2.WorkloadInventory'!C:C = TableTypes8[[#This Row],[Resource Type]]))))</f>
        <v>3</v>
      </c>
      <c r="D13" s="4" cm="1">
        <f t="array" ref="D13">IF(COUNTIF('4.ImpactedResourcesAnalysis'!C:C, TableTypes8[[#This Row],[Resource Type]])=0, 0, COUNTA(_xlfn.UNIQUE(_xlfn._xlws.FILTER('4.ImpactedResourcesAnalysis'!H:H, ('4.ImpactedResourcesAnalysis'!C:C=TableTypes8[[#This Row],[Resource Type]]) * ('4.ImpactedResourcesAnalysis'!H:H&lt;&gt;"Get ResourceID from Azure Portal")))))</f>
        <v>3</v>
      </c>
      <c r="E13" s="5" t="s">
        <v>515</v>
      </c>
      <c r="F13" s="7"/>
      <c r="G13" s="5" t="str">
        <f>IF(OR(AND(TableTypes8[[#This Row],[Category]]="Support Requests", COUNTIFS('6.SupportRequestsAnalysis'!A:A, "&lt;&gt;Reviewed")=0),AND(TableTypes8[[#This Row],[Category]]="Platform Issues", COUNTIFS('5.PlatformIssuesAnalysis'!A:A, "&lt;&gt;Reviewed")=0),AND(TableTypes8[[#This Row],[Category]]="Impacted Resources", COUNTIFS('4.ImpactedResourcesAnalysis'!A:A, "&lt;&gt;Reviewed", '4.ImpactedResourcesAnalysis'!C:C, TableTypes8[[#This Row],[Resource Type]], '4.ImpactedResourcesAnalysis'!O:O, "&lt;&gt;Low")=0)), "Reviewed", "Pending")</f>
        <v>Reviewed</v>
      </c>
      <c r="H13" s="4"/>
    </row>
    <row r="14" spans="1:9" x14ac:dyDescent="0.35">
      <c r="A14" s="3" t="s">
        <v>510</v>
      </c>
      <c r="B14" s="4" t="s">
        <v>325</v>
      </c>
      <c r="C14" s="4" cm="1">
        <f t="array" ref="C14">COUNTA(_xlfn.UNIQUE(_xlfn.VSTACK(_xlfn._xlws.FILTER('2.WorkloadInventory'!A:A, '2.WorkloadInventory'!C:C = TableTypes8[[#This Row],[Resource Type]]), _xlfn._xlws.FILTER('2.WorkloadInventory'!A:A, '2.WorkloadInventory'!C:C = TableTypes8[[#This Row],[Resource Type]]))))</f>
        <v>2</v>
      </c>
      <c r="D14" s="4" cm="1">
        <f t="array" ref="D14">IF(COUNTIF('4.ImpactedResourcesAnalysis'!C:C, TableTypes8[[#This Row],[Resource Type]])=0, 0, COUNTA(_xlfn.UNIQUE(_xlfn._xlws.FILTER('4.ImpactedResourcesAnalysis'!H:H, ('4.ImpactedResourcesAnalysis'!C:C=TableTypes8[[#This Row],[Resource Type]]) * ('4.ImpactedResourcesAnalysis'!H:H&lt;&gt;"Get ResourceID from Azure Portal")))))</f>
        <v>2</v>
      </c>
      <c r="E14" s="5" t="s">
        <v>514</v>
      </c>
      <c r="F14" s="7"/>
      <c r="G14" s="5" t="str">
        <f>IF(OR(AND(TableTypes8[[#This Row],[Category]]="Support Requests", COUNTIFS('6.SupportRequestsAnalysis'!A:A, "&lt;&gt;Reviewed")=0),AND(TableTypes8[[#This Row],[Category]]="Platform Issues", COUNTIFS('5.PlatformIssuesAnalysis'!A:A, "&lt;&gt;Reviewed")=0),AND(TableTypes8[[#This Row],[Category]]="Impacted Resources", COUNTIFS('4.ImpactedResourcesAnalysis'!A:A, "&lt;&gt;Reviewed", '4.ImpactedResourcesAnalysis'!C:C, TableTypes8[[#This Row],[Resource Type]], '4.ImpactedResourcesAnalysis'!O:O, "&lt;&gt;Low")=0)), "Reviewed", "Pending")</f>
        <v>Pending</v>
      </c>
      <c r="H14" s="4"/>
    </row>
    <row r="15" spans="1:9" x14ac:dyDescent="0.35">
      <c r="A15" s="3" t="s">
        <v>510</v>
      </c>
      <c r="B15" s="4" t="s">
        <v>106</v>
      </c>
      <c r="C15" s="4" cm="1">
        <f t="array" ref="C15">COUNTA(_xlfn.UNIQUE(_xlfn.VSTACK(_xlfn._xlws.FILTER('2.WorkloadInventory'!A:A, '2.WorkloadInventory'!C:C = TableTypes8[[#This Row],[Resource Type]]), _xlfn._xlws.FILTER('2.WorkloadInventory'!A:A, '2.WorkloadInventory'!C:C = TableTypes8[[#This Row],[Resource Type]]))))</f>
        <v>2</v>
      </c>
      <c r="D15" s="4" cm="1">
        <f t="array" ref="D15">IF(COUNTIF('4.ImpactedResourcesAnalysis'!C:C, TableTypes8[[#This Row],[Resource Type]])=0, 0, COUNTA(_xlfn.UNIQUE(_xlfn._xlws.FILTER('4.ImpactedResourcesAnalysis'!H:H, ('4.ImpactedResourcesAnalysis'!C:C=TableTypes8[[#This Row],[Resource Type]]) * ('4.ImpactedResourcesAnalysis'!H:H&lt;&gt;"Get ResourceID from Azure Portal")))))</f>
        <v>2</v>
      </c>
      <c r="E15" s="5" t="s">
        <v>514</v>
      </c>
      <c r="F15" s="7"/>
      <c r="G15" s="5" t="str">
        <f>IF(OR(AND(TableTypes8[[#This Row],[Category]]="Support Requests", COUNTIFS('6.SupportRequestsAnalysis'!A:A, "&lt;&gt;Reviewed")=0),AND(TableTypes8[[#This Row],[Category]]="Platform Issues", COUNTIFS('5.PlatformIssuesAnalysis'!A:A, "&lt;&gt;Reviewed")=0),AND(TableTypes8[[#This Row],[Category]]="Impacted Resources", COUNTIFS('4.ImpactedResourcesAnalysis'!A:A, "&lt;&gt;Reviewed", '4.ImpactedResourcesAnalysis'!C:C, TableTypes8[[#This Row],[Resource Type]], '4.ImpactedResourcesAnalysis'!O:O, "&lt;&gt;Low")=0)), "Reviewed", "Pending")</f>
        <v>Pending</v>
      </c>
      <c r="H15" s="4"/>
    </row>
    <row r="16" spans="1:9" x14ac:dyDescent="0.35">
      <c r="A16" s="3" t="s">
        <v>510</v>
      </c>
      <c r="B16" s="4" t="s">
        <v>337</v>
      </c>
      <c r="C16" s="4" cm="1">
        <f t="array" ref="C16">COUNTA(_xlfn.UNIQUE(_xlfn.VSTACK(_xlfn._xlws.FILTER('2.WorkloadInventory'!A:A, '2.WorkloadInventory'!C:C = TableTypes8[[#This Row],[Resource Type]]), _xlfn._xlws.FILTER('2.WorkloadInventory'!A:A, '2.WorkloadInventory'!C:C = TableTypes8[[#This Row],[Resource Type]]))))</f>
        <v>4</v>
      </c>
      <c r="D16" s="4" cm="1">
        <f t="array" ref="D16">IF(COUNTIF('4.ImpactedResourcesAnalysis'!C:C, TableTypes8[[#This Row],[Resource Type]])=0, 0, COUNTA(_xlfn.UNIQUE(_xlfn._xlws.FILTER('4.ImpactedResourcesAnalysis'!H:H, ('4.ImpactedResourcesAnalysis'!C:C=TableTypes8[[#This Row],[Resource Type]]) * ('4.ImpactedResourcesAnalysis'!H:H&lt;&gt;"Get ResourceID from Azure Portal")))))</f>
        <v>4</v>
      </c>
      <c r="E16" s="5" t="s">
        <v>514</v>
      </c>
      <c r="F16" s="7"/>
      <c r="G16" s="5" t="str">
        <f>IF(OR(AND(TableTypes8[[#This Row],[Category]]="Support Requests", COUNTIFS('6.SupportRequestsAnalysis'!A:A, "&lt;&gt;Reviewed")=0),AND(TableTypes8[[#This Row],[Category]]="Platform Issues", COUNTIFS('5.PlatformIssuesAnalysis'!A:A, "&lt;&gt;Reviewed")=0),AND(TableTypes8[[#This Row],[Category]]="Impacted Resources", COUNTIFS('4.ImpactedResourcesAnalysis'!A:A, "&lt;&gt;Reviewed", '4.ImpactedResourcesAnalysis'!C:C, TableTypes8[[#This Row],[Resource Type]], '4.ImpactedResourcesAnalysis'!O:O, "&lt;&gt;Low")=0)), "Reviewed", "Pending")</f>
        <v>Reviewed</v>
      </c>
      <c r="H16" s="4"/>
    </row>
    <row r="17" spans="1:8" x14ac:dyDescent="0.35">
      <c r="A17" s="3" t="s">
        <v>510</v>
      </c>
      <c r="B17" s="4" t="s">
        <v>96</v>
      </c>
      <c r="C17" s="4" cm="1">
        <f t="array" ref="C17">COUNTA(_xlfn.UNIQUE(_xlfn.VSTACK(_xlfn._xlws.FILTER('2.WorkloadInventory'!A:A, '2.WorkloadInventory'!C:C = TableTypes8[[#This Row],[Resource Type]]), _xlfn._xlws.FILTER('2.WorkloadInventory'!A:A, '2.WorkloadInventory'!C:C = TableTypes8[[#This Row],[Resource Type]]))))</f>
        <v>1</v>
      </c>
      <c r="D17" s="4" cm="1">
        <f t="array" ref="D17">IF(COUNTIF('4.ImpactedResourcesAnalysis'!C:C, TableTypes8[[#This Row],[Resource Type]])=0, 0, COUNTA(_xlfn.UNIQUE(_xlfn._xlws.FILTER('4.ImpactedResourcesAnalysis'!H:H, ('4.ImpactedResourcesAnalysis'!C:C=TableTypes8[[#This Row],[Resource Type]]) * ('4.ImpactedResourcesAnalysis'!H:H&lt;&gt;"Get ResourceID from Azure Portal")))))</f>
        <v>1</v>
      </c>
      <c r="E17" s="5" t="s">
        <v>514</v>
      </c>
      <c r="F17" s="7"/>
      <c r="G17" s="5" t="str">
        <f>IF(OR(AND(TableTypes8[[#This Row],[Category]]="Support Requests", COUNTIFS('6.SupportRequestsAnalysis'!A:A, "&lt;&gt;Reviewed")=0),AND(TableTypes8[[#This Row],[Category]]="Platform Issues", COUNTIFS('5.PlatformIssuesAnalysis'!A:A, "&lt;&gt;Reviewed")=0),AND(TableTypes8[[#This Row],[Category]]="Impacted Resources", COUNTIFS('4.ImpactedResourcesAnalysis'!A:A, "&lt;&gt;Reviewed", '4.ImpactedResourcesAnalysis'!C:C, TableTypes8[[#This Row],[Resource Type]], '4.ImpactedResourcesAnalysis'!O:O, "&lt;&gt;Low")=0)), "Reviewed", "Pending")</f>
        <v>Pending</v>
      </c>
      <c r="H17" s="4"/>
    </row>
    <row r="18" spans="1:8" x14ac:dyDescent="0.35">
      <c r="A18" s="3" t="s">
        <v>510</v>
      </c>
      <c r="B18" s="4" t="s">
        <v>360</v>
      </c>
      <c r="C18" s="4" cm="1">
        <f t="array" ref="C18">COUNTA(_xlfn.UNIQUE(_xlfn.VSTACK(_xlfn._xlws.FILTER('2.WorkloadInventory'!A:A, '2.WorkloadInventory'!C:C = TableTypes8[[#This Row],[Resource Type]]), _xlfn._xlws.FILTER('2.WorkloadInventory'!A:A, '2.WorkloadInventory'!C:C = TableTypes8[[#This Row],[Resource Type]]))))</f>
        <v>1</v>
      </c>
      <c r="D18" s="4" cm="1">
        <f t="array" ref="D18">IF(COUNTIF('4.ImpactedResourcesAnalysis'!C:C, TableTypes8[[#This Row],[Resource Type]])=0, 0, COUNTA(_xlfn.UNIQUE(_xlfn._xlws.FILTER('4.ImpactedResourcesAnalysis'!H:H, ('4.ImpactedResourcesAnalysis'!C:C=TableTypes8[[#This Row],[Resource Type]]) * ('4.ImpactedResourcesAnalysis'!H:H&lt;&gt;"Get ResourceID from Azure Portal")))))</f>
        <v>1</v>
      </c>
      <c r="E18" s="5" t="s">
        <v>514</v>
      </c>
      <c r="F18" s="7"/>
      <c r="G18" s="5" t="str">
        <f>IF(OR(AND(TableTypes8[[#This Row],[Category]]="Support Requests", COUNTIFS('6.SupportRequestsAnalysis'!A:A, "&lt;&gt;Reviewed")=0),AND(TableTypes8[[#This Row],[Category]]="Platform Issues", COUNTIFS('5.PlatformIssuesAnalysis'!A:A, "&lt;&gt;Reviewed")=0),AND(TableTypes8[[#This Row],[Category]]="Impacted Resources", COUNTIFS('4.ImpactedResourcesAnalysis'!A:A, "&lt;&gt;Reviewed", '4.ImpactedResourcesAnalysis'!C:C, TableTypes8[[#This Row],[Resource Type]], '4.ImpactedResourcesAnalysis'!O:O, "&lt;&gt;Low")=0)), "Reviewed", "Pending")</f>
        <v>Pending</v>
      </c>
      <c r="H18" s="4"/>
    </row>
    <row r="19" spans="1:8" x14ac:dyDescent="0.35">
      <c r="A19" s="3" t="s">
        <v>510</v>
      </c>
      <c r="B19" s="4" t="s">
        <v>292</v>
      </c>
      <c r="C19" s="4" cm="1">
        <f t="array" ref="C19">COUNTA(_xlfn.UNIQUE(_xlfn.VSTACK(_xlfn._xlws.FILTER('2.WorkloadInventory'!A:A, '2.WorkloadInventory'!C:C = TableTypes8[[#This Row],[Resource Type]]), _xlfn._xlws.FILTER('2.WorkloadInventory'!A:A, '2.WorkloadInventory'!C:C = TableTypes8[[#This Row],[Resource Type]]))))</f>
        <v>3</v>
      </c>
      <c r="D19" s="4" cm="1">
        <f t="array" ref="D19">IF(COUNTIF('4.ImpactedResourcesAnalysis'!C:C, TableTypes8[[#This Row],[Resource Type]])=0, 0, COUNTA(_xlfn.UNIQUE(_xlfn._xlws.FILTER('4.ImpactedResourcesAnalysis'!H:H, ('4.ImpactedResourcesAnalysis'!C:C=TableTypes8[[#This Row],[Resource Type]]) * ('4.ImpactedResourcesAnalysis'!H:H&lt;&gt;"Get ResourceID from Azure Portal")))))</f>
        <v>3</v>
      </c>
      <c r="E19" s="5" t="s">
        <v>514</v>
      </c>
      <c r="F19" s="7"/>
      <c r="G19" s="5" t="str">
        <f>IF(OR(AND(TableTypes8[[#This Row],[Category]]="Support Requests", COUNTIFS('6.SupportRequestsAnalysis'!A:A, "&lt;&gt;Reviewed")=0),AND(TableTypes8[[#This Row],[Category]]="Platform Issues", COUNTIFS('5.PlatformIssuesAnalysis'!A:A, "&lt;&gt;Reviewed")=0),AND(TableTypes8[[#This Row],[Category]]="Impacted Resources", COUNTIFS('4.ImpactedResourcesAnalysis'!A:A, "&lt;&gt;Reviewed", '4.ImpactedResourcesAnalysis'!C:C, TableTypes8[[#This Row],[Resource Type]], '4.ImpactedResourcesAnalysis'!O:O, "&lt;&gt;Low")=0)), "Reviewed", "Pending")</f>
        <v>Reviewed</v>
      </c>
      <c r="H19" s="4"/>
    </row>
    <row r="20" spans="1:8" x14ac:dyDescent="0.35">
      <c r="A20" s="3" t="s">
        <v>510</v>
      </c>
      <c r="B20" s="4" t="s">
        <v>143</v>
      </c>
      <c r="C20" s="4" cm="1">
        <f t="array" ref="C20">COUNTA(_xlfn.UNIQUE(_xlfn.VSTACK(_xlfn._xlws.FILTER('2.WorkloadInventory'!A:A, '2.WorkloadInventory'!C:C = TableTypes8[[#This Row],[Resource Type]]), _xlfn._xlws.FILTER('2.WorkloadInventory'!A:A, '2.WorkloadInventory'!C:C = TableTypes8[[#This Row],[Resource Type]]))))</f>
        <v>1</v>
      </c>
      <c r="D20" s="4" cm="1">
        <f t="array" ref="D20">IF(COUNTIF('4.ImpactedResourcesAnalysis'!C:C, TableTypes8[[#This Row],[Resource Type]])=0, 0, COUNTA(_xlfn.UNIQUE(_xlfn._xlws.FILTER('4.ImpactedResourcesAnalysis'!H:H, ('4.ImpactedResourcesAnalysis'!C:C=TableTypes8[[#This Row],[Resource Type]]) * ('4.ImpactedResourcesAnalysis'!H:H&lt;&gt;"Get ResourceID from Azure Portal")))))</f>
        <v>1</v>
      </c>
      <c r="E20" s="5" t="s">
        <v>514</v>
      </c>
      <c r="F20" s="7"/>
      <c r="G20" s="5" t="str">
        <f>IF(OR(AND(TableTypes8[[#This Row],[Category]]="Support Requests", COUNTIFS('6.SupportRequestsAnalysis'!A:A, "&lt;&gt;Reviewed")=0),AND(TableTypes8[[#This Row],[Category]]="Platform Issues", COUNTIFS('5.PlatformIssuesAnalysis'!A:A, "&lt;&gt;Reviewed")=0),AND(TableTypes8[[#This Row],[Category]]="Impacted Resources", COUNTIFS('4.ImpactedResourcesAnalysis'!A:A, "&lt;&gt;Reviewed", '4.ImpactedResourcesAnalysis'!C:C, TableTypes8[[#This Row],[Resource Type]], '4.ImpactedResourcesAnalysis'!O:O, "&lt;&gt;Low")=0)), "Reviewed", "Pending")</f>
        <v>Pending</v>
      </c>
      <c r="H20" s="4"/>
    </row>
    <row r="21" spans="1:8" x14ac:dyDescent="0.35">
      <c r="A21" s="3" t="s">
        <v>510</v>
      </c>
      <c r="B21" s="4" t="s">
        <v>178</v>
      </c>
      <c r="C21" s="4" cm="1">
        <f t="array" ref="C21">COUNTA(_xlfn.UNIQUE(_xlfn.VSTACK(_xlfn._xlws.FILTER('2.WorkloadInventory'!A:A, '2.WorkloadInventory'!C:C = TableTypes8[[#This Row],[Resource Type]]), _xlfn._xlws.FILTER('2.WorkloadInventory'!A:A, '2.WorkloadInventory'!C:C = TableTypes8[[#This Row],[Resource Type]]))))</f>
        <v>1</v>
      </c>
      <c r="D21" s="4" cm="1">
        <f t="array" ref="D21">IF(COUNTIF('4.ImpactedResourcesAnalysis'!C:C, TableTypes8[[#This Row],[Resource Type]])=0, 0, COUNTA(_xlfn.UNIQUE(_xlfn._xlws.FILTER('4.ImpactedResourcesAnalysis'!H:H, ('4.ImpactedResourcesAnalysis'!C:C=TableTypes8[[#This Row],[Resource Type]]) * ('4.ImpactedResourcesAnalysis'!H:H&lt;&gt;"Get ResourceID from Azure Portal")))))</f>
        <v>2</v>
      </c>
      <c r="E21" s="5" t="s">
        <v>514</v>
      </c>
      <c r="F21" s="7"/>
      <c r="G21" s="5" t="str">
        <f>IF(OR(AND(TableTypes8[[#This Row],[Category]]="Support Requests", COUNTIFS('6.SupportRequestsAnalysis'!A:A, "&lt;&gt;Reviewed")=0),AND(TableTypes8[[#This Row],[Category]]="Platform Issues", COUNTIFS('5.PlatformIssuesAnalysis'!A:A, "&lt;&gt;Reviewed")=0),AND(TableTypes8[[#This Row],[Category]]="Impacted Resources", COUNTIFS('4.ImpactedResourcesAnalysis'!A:A, "&lt;&gt;Reviewed", '4.ImpactedResourcesAnalysis'!C:C, TableTypes8[[#This Row],[Resource Type]], '4.ImpactedResourcesAnalysis'!O:O, "&lt;&gt;Low")=0)), "Reviewed", "Pending")</f>
        <v>Pending</v>
      </c>
      <c r="H21" s="4"/>
    </row>
    <row r="22" spans="1:8" x14ac:dyDescent="0.35">
      <c r="A22" s="3" t="s">
        <v>10</v>
      </c>
      <c r="B22" s="4" t="s">
        <v>398</v>
      </c>
      <c r="C22" s="4" t="s">
        <v>516</v>
      </c>
      <c r="D22" s="4" t="s">
        <v>516</v>
      </c>
      <c r="E22" s="5" t="s">
        <v>514</v>
      </c>
      <c r="F22" s="7"/>
      <c r="G22" s="5" t="s">
        <v>46</v>
      </c>
      <c r="H22" s="4"/>
    </row>
    <row r="23" spans="1:8" x14ac:dyDescent="0.35">
      <c r="A23" s="3" t="s">
        <v>8</v>
      </c>
      <c r="B23" s="4" t="s">
        <v>398</v>
      </c>
      <c r="C23" s="4" t="s">
        <v>516</v>
      </c>
      <c r="D23" s="4" t="s">
        <v>516</v>
      </c>
      <c r="E23" s="5" t="s">
        <v>514</v>
      </c>
      <c r="F23" s="7"/>
      <c r="G23" s="5" t="s">
        <v>46</v>
      </c>
      <c r="H23" s="4"/>
    </row>
    <row r="24" spans="1:8" x14ac:dyDescent="0.35">
      <c r="A24" s="3"/>
      <c r="B24" s="4"/>
      <c r="C24" s="4"/>
      <c r="D24" s="4"/>
      <c r="E24" s="5"/>
      <c r="F24" s="7"/>
      <c r="G24" s="5"/>
      <c r="H24" s="4"/>
    </row>
    <row r="25" spans="1:8" x14ac:dyDescent="0.35">
      <c r="A25" s="3"/>
      <c r="B25" s="4"/>
      <c r="C25" s="4"/>
      <c r="D25" s="4"/>
      <c r="E25" s="5"/>
      <c r="F25" s="7"/>
      <c r="G25" s="5"/>
      <c r="H25" s="4"/>
    </row>
    <row r="26" spans="1:8" x14ac:dyDescent="0.35">
      <c r="A26" s="3"/>
      <c r="B26" s="4"/>
      <c r="C26" s="4"/>
      <c r="D26" s="4"/>
      <c r="E26" s="5"/>
      <c r="F26" s="7"/>
      <c r="G26" s="5"/>
      <c r="H26" s="4"/>
    </row>
    <row r="27" spans="1:8" x14ac:dyDescent="0.35">
      <c r="A27" s="3"/>
      <c r="B27" s="4"/>
      <c r="C27" s="4"/>
      <c r="D27" s="4"/>
      <c r="E27" s="5"/>
      <c r="F27" s="7"/>
      <c r="G27" s="5"/>
      <c r="H27" s="4"/>
    </row>
    <row r="28" spans="1:8" x14ac:dyDescent="0.35">
      <c r="A28" s="3"/>
      <c r="B28" s="4"/>
      <c r="C28" s="4"/>
      <c r="D28" s="4"/>
      <c r="E28" s="5"/>
      <c r="F28" s="7"/>
      <c r="G28" s="5"/>
      <c r="H28" s="4"/>
    </row>
    <row r="29" spans="1:8" x14ac:dyDescent="0.35">
      <c r="A29" s="3"/>
      <c r="B29" s="4"/>
      <c r="C29" s="4"/>
      <c r="D29" s="4"/>
      <c r="E29" s="5"/>
      <c r="F29" s="7"/>
      <c r="G29" s="5"/>
      <c r="H29" s="4"/>
    </row>
    <row r="30" spans="1:8" x14ac:dyDescent="0.35">
      <c r="A30" s="3"/>
      <c r="B30" s="4"/>
      <c r="C30" s="4"/>
      <c r="D30" s="4"/>
      <c r="E30" s="5"/>
      <c r="F30" s="7"/>
      <c r="G30" s="5"/>
      <c r="H30" s="4"/>
    </row>
    <row r="31" spans="1:8" x14ac:dyDescent="0.35">
      <c r="A31" s="3"/>
      <c r="B31" s="4"/>
      <c r="C31" s="4"/>
      <c r="D31" s="4"/>
      <c r="E31" s="5"/>
      <c r="F31" s="7"/>
      <c r="G31" s="5"/>
      <c r="H31" s="4"/>
    </row>
    <row r="32" spans="1:8" x14ac:dyDescent="0.35">
      <c r="A32" s="3"/>
      <c r="B32" s="4"/>
      <c r="C32" s="4"/>
      <c r="D32" s="4"/>
      <c r="E32" s="5"/>
      <c r="F32" s="7"/>
      <c r="G32" s="5"/>
      <c r="H32" s="4"/>
    </row>
    <row r="33" spans="1:8" x14ac:dyDescent="0.35">
      <c r="A33" s="3"/>
      <c r="B33" s="4"/>
      <c r="C33" s="4"/>
      <c r="D33" s="4"/>
      <c r="E33" s="5"/>
      <c r="F33" s="7"/>
      <c r="G33" s="5"/>
      <c r="H33" s="4"/>
    </row>
    <row r="34" spans="1:8" x14ac:dyDescent="0.35">
      <c r="A34" s="3"/>
      <c r="B34" s="4"/>
      <c r="C34" s="4"/>
      <c r="D34" s="4"/>
      <c r="E34" s="5"/>
      <c r="F34" s="7"/>
      <c r="G34" s="5"/>
      <c r="H34" s="4"/>
    </row>
    <row r="35" spans="1:8" x14ac:dyDescent="0.35">
      <c r="A35" s="3"/>
      <c r="B35" s="4"/>
      <c r="C35" s="4"/>
      <c r="D35" s="4"/>
      <c r="E35" s="5"/>
      <c r="F35" s="7"/>
      <c r="G35" s="5"/>
      <c r="H35" s="4"/>
    </row>
    <row r="36" spans="1:8" x14ac:dyDescent="0.35">
      <c r="A36" s="3"/>
      <c r="B36" s="5"/>
      <c r="C36" s="5"/>
      <c r="D36" s="4"/>
      <c r="E36" s="5"/>
      <c r="F36" s="7"/>
      <c r="G36" s="5"/>
      <c r="H36" s="4"/>
    </row>
    <row r="37" spans="1:8" x14ac:dyDescent="0.35">
      <c r="A37" s="3"/>
      <c r="B37" s="5"/>
      <c r="C37" s="5"/>
      <c r="D37" s="4"/>
      <c r="E37" s="5"/>
      <c r="F37" s="7"/>
      <c r="G37" s="5"/>
      <c r="H37" s="4"/>
    </row>
    <row r="38" spans="1:8" x14ac:dyDescent="0.35">
      <c r="A38" s="3"/>
      <c r="B38" s="5"/>
      <c r="C38" s="5"/>
      <c r="D38" s="4"/>
      <c r="E38" s="5"/>
      <c r="F38" s="7"/>
      <c r="G38" s="5"/>
      <c r="H38" s="6"/>
    </row>
  </sheetData>
  <mergeCells count="2">
    <mergeCell ref="F5:F8"/>
    <mergeCell ref="G5:G8"/>
  </mergeCells>
  <pageMargins left="0.7" right="0.7" top="0.75" bottom="0.75" header="0.3" footer="0.3"/>
  <drawing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EDFD03-B099-4F39-8077-83E418354A35}">
  <dimension ref="A1:AB101"/>
  <sheetViews>
    <sheetView zoomScale="85" zoomScaleNormal="85" workbookViewId="0">
      <pane ySplit="12" topLeftCell="A13" activePane="bottomLeft" state="frozen"/>
      <selection pane="bottomLeft" activeCell="F29" sqref="F29"/>
    </sheetView>
  </sheetViews>
  <sheetFormatPr defaultColWidth="8.90625" defaultRowHeight="14.5" x14ac:dyDescent="0.35"/>
  <cols>
    <col min="1" max="1" width="88.36328125" customWidth="1"/>
    <col min="2" max="2" width="18.453125" style="65" customWidth="1"/>
    <col min="3" max="3" width="29.6328125" style="1" customWidth="1"/>
    <col min="4" max="4" width="14.453125" style="1" customWidth="1"/>
    <col min="5" max="5" width="14.7265625" style="1" customWidth="1"/>
    <col min="6" max="6" width="14.453125" style="1" customWidth="1"/>
    <col min="7" max="7" width="33" style="1" customWidth="1"/>
    <col min="8" max="8" width="10.90625" style="4" customWidth="1"/>
    <col min="9" max="9" width="10.6328125" style="1" customWidth="1"/>
    <col min="10" max="11" width="10.6328125" customWidth="1"/>
    <col min="12" max="12" width="37.54296875" customWidth="1"/>
    <col min="13" max="13" width="27" customWidth="1"/>
    <col min="14" max="14" width="30.54296875" customWidth="1"/>
    <col min="15" max="15" width="14.453125" customWidth="1"/>
    <col min="16" max="16" width="23.453125" customWidth="1"/>
    <col min="17" max="17" width="20.36328125" customWidth="1"/>
    <col min="18" max="18" width="20.453125" customWidth="1"/>
    <col min="19" max="19" width="51" customWidth="1"/>
    <col min="20" max="23" width="20.453125" customWidth="1"/>
    <col min="24" max="24" width="23.453125" customWidth="1"/>
    <col min="25" max="25" width="20.7265625" customWidth="1"/>
    <col min="26" max="26" width="22.90625" customWidth="1"/>
    <col min="27" max="28" width="20.453125" customWidth="1"/>
    <col min="29" max="29" width="8.90625" customWidth="1"/>
  </cols>
  <sheetData>
    <row r="1" spans="1:28" ht="14.4" customHeight="1" x14ac:dyDescent="0.35">
      <c r="A1" s="32"/>
      <c r="B1" s="74"/>
      <c r="C1" s="32"/>
      <c r="D1" s="32"/>
      <c r="E1" s="32"/>
      <c r="F1" s="32"/>
      <c r="G1" s="32"/>
      <c r="H1" s="32"/>
      <c r="I1" s="32"/>
      <c r="J1" s="32"/>
      <c r="K1" s="32"/>
      <c r="L1" s="32"/>
      <c r="M1" s="32"/>
      <c r="N1" s="32"/>
      <c r="O1" s="32"/>
      <c r="P1" s="32"/>
      <c r="Q1" s="32"/>
      <c r="R1" s="32"/>
      <c r="S1" s="32"/>
      <c r="T1" s="32"/>
      <c r="U1" s="32"/>
      <c r="V1" s="32"/>
      <c r="W1" s="32"/>
      <c r="X1" s="32"/>
      <c r="Y1" s="32"/>
      <c r="Z1" s="32"/>
      <c r="AA1" s="32"/>
      <c r="AB1" s="32"/>
    </row>
    <row r="2" spans="1:28" ht="14.4" customHeight="1" x14ac:dyDescent="0.35">
      <c r="A2" s="32"/>
      <c r="B2" s="74"/>
      <c r="C2" s="32"/>
      <c r="D2" s="32"/>
      <c r="E2" s="32"/>
      <c r="F2" s="32"/>
      <c r="G2" s="32"/>
      <c r="H2" s="32"/>
      <c r="I2" s="32"/>
      <c r="J2" s="32"/>
      <c r="K2" s="32"/>
      <c r="L2" s="32"/>
      <c r="M2" s="32"/>
      <c r="N2" s="32"/>
      <c r="O2" s="32"/>
      <c r="P2" s="32"/>
      <c r="Q2" s="32"/>
      <c r="R2" s="32"/>
      <c r="S2" s="32"/>
      <c r="T2" s="32"/>
      <c r="U2" s="32"/>
      <c r="V2" s="32"/>
      <c r="W2" s="32"/>
      <c r="X2" s="32"/>
      <c r="Y2" s="32"/>
      <c r="Z2" s="32"/>
      <c r="AA2" s="32"/>
      <c r="AB2" s="32"/>
    </row>
    <row r="3" spans="1:28" ht="14.4" customHeight="1" x14ac:dyDescent="0.35">
      <c r="A3" s="32"/>
      <c r="B3" s="74"/>
      <c r="C3" s="52"/>
      <c r="D3" s="32"/>
      <c r="E3" s="32"/>
      <c r="F3" s="32"/>
      <c r="G3" s="32"/>
      <c r="H3" s="32"/>
      <c r="I3" s="32"/>
      <c r="J3" s="32"/>
      <c r="K3" s="32"/>
      <c r="L3" s="32"/>
      <c r="M3" s="32"/>
      <c r="N3" s="32"/>
      <c r="O3" s="32"/>
      <c r="P3" s="32"/>
      <c r="Q3" s="32"/>
      <c r="R3" s="32"/>
      <c r="S3" s="32"/>
      <c r="T3" s="32"/>
      <c r="U3" s="32"/>
      <c r="V3" s="32"/>
      <c r="W3" s="32"/>
      <c r="X3" s="32"/>
      <c r="Y3" s="32"/>
      <c r="Z3" s="32"/>
      <c r="AA3" s="32"/>
      <c r="AB3" s="32"/>
    </row>
    <row r="4" spans="1:28" ht="14.9" customHeight="1" x14ac:dyDescent="0.35">
      <c r="A4" s="32"/>
      <c r="B4" s="74"/>
      <c r="C4" s="70" t="s">
        <v>39</v>
      </c>
      <c r="D4" s="71">
        <f>COUNTIF(A:A,"Reviewed")</f>
        <v>28</v>
      </c>
      <c r="E4" s="53"/>
      <c r="F4" s="54"/>
      <c r="G4" s="53"/>
      <c r="H4" s="53"/>
      <c r="I4" s="53"/>
      <c r="J4" s="53"/>
      <c r="K4" s="53"/>
      <c r="L4" s="53"/>
      <c r="M4" s="53"/>
      <c r="N4" s="53"/>
      <c r="O4" s="53"/>
      <c r="P4" s="53"/>
      <c r="Q4" s="53"/>
      <c r="R4" s="53"/>
      <c r="S4" s="53"/>
      <c r="T4" s="53"/>
      <c r="U4" s="53"/>
      <c r="V4" s="53"/>
      <c r="W4" s="53"/>
      <c r="X4" s="53"/>
      <c r="Y4" s="53"/>
      <c r="Z4" s="53"/>
      <c r="AA4" s="53"/>
      <c r="AB4" s="53"/>
    </row>
    <row r="5" spans="1:28" ht="14.75" customHeight="1" x14ac:dyDescent="0.4">
      <c r="A5" s="32"/>
      <c r="B5" s="74"/>
      <c r="C5" s="84" t="s">
        <v>40</v>
      </c>
      <c r="D5" s="85">
        <f>COUNTIFS(A:A,"&lt;&gt;Reviewed",A:A,"&lt;&gt;",O:O,"&lt;&gt;Low")-1</f>
        <v>42</v>
      </c>
      <c r="E5" s="46"/>
      <c r="F5" s="86"/>
      <c r="G5" s="92"/>
      <c r="H5" s="93"/>
      <c r="I5" s="93"/>
      <c r="J5" s="93"/>
      <c r="K5" s="93"/>
      <c r="L5" s="93"/>
      <c r="M5" s="93"/>
      <c r="N5" s="93"/>
      <c r="O5" s="93"/>
      <c r="P5" s="93"/>
      <c r="Q5" s="93"/>
      <c r="R5" s="93"/>
      <c r="S5" s="93"/>
      <c r="T5" s="93"/>
      <c r="U5" s="93"/>
      <c r="V5" s="93"/>
      <c r="W5" s="93"/>
      <c r="X5" s="93"/>
      <c r="Y5" s="67"/>
      <c r="Z5" s="93"/>
      <c r="AA5" s="93"/>
      <c r="AB5" s="93"/>
    </row>
    <row r="6" spans="1:28" ht="14.75" customHeight="1" x14ac:dyDescent="0.4">
      <c r="A6" s="32"/>
      <c r="B6" s="74"/>
      <c r="C6" s="70" t="s">
        <v>41</v>
      </c>
      <c r="D6" s="71">
        <f>COUNTIFS(A:A,"&lt;&gt;Reviewed",A:A,"&lt;&gt;",O:O,"Low")</f>
        <v>19</v>
      </c>
      <c r="E6" s="53"/>
      <c r="F6" s="55"/>
      <c r="G6" s="92"/>
      <c r="H6" s="93"/>
      <c r="I6" s="93"/>
      <c r="J6" s="93"/>
      <c r="K6" s="93"/>
      <c r="L6" s="93"/>
      <c r="M6" s="93"/>
      <c r="N6" s="93"/>
      <c r="O6" s="93"/>
      <c r="P6" s="93"/>
      <c r="Q6" s="93"/>
      <c r="R6" s="93"/>
      <c r="S6" s="93"/>
      <c r="T6" s="93"/>
      <c r="U6" s="93"/>
      <c r="V6" s="93"/>
      <c r="W6" s="93"/>
      <c r="X6" s="93"/>
      <c r="Y6" s="67"/>
      <c r="Z6" s="93"/>
      <c r="AA6" s="93"/>
      <c r="AB6" s="93"/>
    </row>
    <row r="7" spans="1:28" ht="14.9" customHeight="1" x14ac:dyDescent="0.4">
      <c r="A7" s="32"/>
      <c r="B7" s="74"/>
      <c r="C7" s="70" t="s">
        <v>42</v>
      </c>
      <c r="D7" s="71">
        <f>SUM(D4:D6)</f>
        <v>89</v>
      </c>
      <c r="E7" s="57"/>
      <c r="F7" s="57"/>
      <c r="G7" s="92"/>
      <c r="H7" s="93"/>
      <c r="I7" s="93"/>
      <c r="J7" s="93"/>
      <c r="K7" s="93"/>
      <c r="L7" s="93"/>
      <c r="M7" s="93"/>
      <c r="N7" s="93"/>
      <c r="O7" s="93"/>
      <c r="P7" s="93"/>
      <c r="Q7" s="93"/>
      <c r="R7" s="93"/>
      <c r="S7" s="93"/>
      <c r="T7" s="93"/>
      <c r="U7" s="93"/>
      <c r="V7" s="93"/>
      <c r="W7" s="93"/>
      <c r="X7" s="93"/>
      <c r="Y7" s="67"/>
      <c r="Z7" s="93"/>
      <c r="AA7" s="93"/>
      <c r="AB7" s="93"/>
    </row>
    <row r="8" spans="1:28" ht="14.9" customHeight="1" x14ac:dyDescent="0.4">
      <c r="A8" s="32"/>
      <c r="B8" s="74"/>
      <c r="C8" s="52"/>
      <c r="D8" s="32"/>
      <c r="E8" s="32"/>
      <c r="F8" s="52"/>
      <c r="G8" s="92"/>
      <c r="H8" s="93"/>
      <c r="I8" s="93"/>
      <c r="J8" s="93"/>
      <c r="K8" s="93"/>
      <c r="L8" s="93"/>
      <c r="M8" s="93"/>
      <c r="N8" s="93"/>
      <c r="O8" s="93"/>
      <c r="P8" s="93"/>
      <c r="Q8" s="93"/>
      <c r="R8" s="93"/>
      <c r="S8" s="93"/>
      <c r="T8" s="93"/>
      <c r="U8" s="93"/>
      <c r="V8" s="93"/>
      <c r="W8" s="93"/>
      <c r="X8" s="93"/>
      <c r="Y8" s="67"/>
      <c r="Z8" s="93"/>
      <c r="AA8" s="93"/>
      <c r="AB8" s="93"/>
    </row>
    <row r="9" spans="1:28" ht="14.9" customHeight="1" x14ac:dyDescent="0.35">
      <c r="A9" s="14"/>
      <c r="B9" s="77"/>
      <c r="C9" s="14"/>
      <c r="D9" s="14"/>
      <c r="E9" s="14"/>
      <c r="F9" s="14"/>
      <c r="G9" s="14"/>
      <c r="H9" s="14"/>
      <c r="I9" s="14"/>
      <c r="J9" s="14"/>
      <c r="K9" s="14"/>
      <c r="L9" s="14"/>
      <c r="M9" s="14"/>
      <c r="N9" s="14"/>
      <c r="O9" s="14"/>
      <c r="P9" s="14"/>
      <c r="Q9" s="14"/>
      <c r="R9" s="14"/>
      <c r="S9" s="14"/>
      <c r="T9" s="14"/>
      <c r="U9" s="14"/>
      <c r="V9" s="14"/>
      <c r="W9" s="14"/>
      <c r="X9" s="14"/>
      <c r="Y9" s="14"/>
      <c r="Z9" s="14"/>
      <c r="AA9" s="14"/>
      <c r="AB9" s="14"/>
    </row>
    <row r="10" spans="1:28" ht="13.5" customHeight="1" x14ac:dyDescent="0.35">
      <c r="A10" s="13"/>
      <c r="B10" s="78"/>
      <c r="C10" s="13"/>
      <c r="D10" s="94" t="s">
        <v>43</v>
      </c>
      <c r="E10" s="94"/>
      <c r="F10" s="94"/>
      <c r="G10" s="94"/>
      <c r="H10" s="94"/>
      <c r="I10" s="94"/>
      <c r="J10" s="94"/>
      <c r="K10" s="94"/>
      <c r="L10" s="94"/>
      <c r="M10" s="94"/>
      <c r="N10" s="95" t="s">
        <v>44</v>
      </c>
      <c r="O10" s="95"/>
      <c r="P10" s="95"/>
      <c r="Q10" s="95"/>
      <c r="R10" s="95"/>
      <c r="S10" s="95"/>
      <c r="T10" s="95"/>
      <c r="U10" s="95"/>
      <c r="V10" s="95"/>
      <c r="W10" s="95"/>
      <c r="X10" s="96" t="s">
        <v>45</v>
      </c>
      <c r="Y10" s="96"/>
      <c r="Z10" s="96"/>
      <c r="AA10" s="96"/>
      <c r="AB10" s="96"/>
    </row>
    <row r="11" spans="1:28" s="27" customFormat="1" ht="13.5" customHeight="1" x14ac:dyDescent="0.3">
      <c r="A11" s="19"/>
      <c r="B11" s="79"/>
      <c r="C11" s="19"/>
      <c r="D11" s="20"/>
      <c r="E11" s="21"/>
      <c r="F11" s="21"/>
      <c r="G11" s="21" t="s">
        <v>18</v>
      </c>
      <c r="H11" s="21" t="s">
        <v>18</v>
      </c>
      <c r="I11" s="21"/>
      <c r="J11" s="21"/>
      <c r="K11" s="21"/>
      <c r="L11" s="21"/>
      <c r="M11" s="22"/>
      <c r="N11" s="23" t="s">
        <v>18</v>
      </c>
      <c r="O11" s="24" t="s">
        <v>18</v>
      </c>
      <c r="P11" s="24" t="s">
        <v>18</v>
      </c>
      <c r="Q11" s="24" t="s">
        <v>18</v>
      </c>
      <c r="R11" s="24" t="s">
        <v>18</v>
      </c>
      <c r="S11" s="24" t="s">
        <v>18</v>
      </c>
      <c r="T11" s="24"/>
      <c r="U11" s="24"/>
      <c r="V11" s="24"/>
      <c r="W11" s="25"/>
      <c r="X11" s="26"/>
      <c r="Y11" s="26"/>
      <c r="Z11" s="26"/>
      <c r="AA11" s="26"/>
      <c r="AB11" s="26"/>
    </row>
    <row r="12" spans="1:28" ht="51" customHeight="1" x14ac:dyDescent="0.35">
      <c r="A12" s="59" t="s">
        <v>153</v>
      </c>
      <c r="B12" s="59" t="s">
        <v>154</v>
      </c>
      <c r="C12" s="28" t="s">
        <v>155</v>
      </c>
      <c r="D12" s="30" t="s">
        <v>54</v>
      </c>
      <c r="E12" s="30" t="s">
        <v>53</v>
      </c>
      <c r="F12" s="30" t="s">
        <v>52</v>
      </c>
      <c r="G12" s="30" t="s">
        <v>48</v>
      </c>
      <c r="H12" s="30" t="s">
        <v>47</v>
      </c>
      <c r="I12" s="30" t="s">
        <v>156</v>
      </c>
      <c r="J12" s="30" t="s">
        <v>157</v>
      </c>
      <c r="K12" s="30" t="s">
        <v>158</v>
      </c>
      <c r="L12" s="30" t="s">
        <v>159</v>
      </c>
      <c r="M12" s="30" t="s">
        <v>160</v>
      </c>
      <c r="N12" s="29" t="s">
        <v>161</v>
      </c>
      <c r="O12" s="29" t="s">
        <v>162</v>
      </c>
      <c r="P12" s="29" t="s">
        <v>163</v>
      </c>
      <c r="Q12" s="29" t="s">
        <v>164</v>
      </c>
      <c r="R12" s="29" t="s">
        <v>165</v>
      </c>
      <c r="S12" s="29" t="s">
        <v>166</v>
      </c>
      <c r="T12" s="29" t="s">
        <v>167</v>
      </c>
      <c r="U12" s="29" t="s">
        <v>168</v>
      </c>
      <c r="V12" s="29" t="s">
        <v>169</v>
      </c>
      <c r="W12" s="29" t="s">
        <v>170</v>
      </c>
      <c r="X12" s="31" t="s">
        <v>171</v>
      </c>
      <c r="Y12" s="31" t="s">
        <v>172</v>
      </c>
      <c r="Z12" s="31" t="s">
        <v>173</v>
      </c>
      <c r="AA12" s="31" t="s">
        <v>174</v>
      </c>
      <c r="AB12" s="31" t="s">
        <v>175</v>
      </c>
    </row>
    <row r="13" spans="1:28" ht="159.5" x14ac:dyDescent="0.35">
      <c r="A13" s="97" t="s">
        <v>176</v>
      </c>
      <c r="B13" s="3" t="s">
        <v>177</v>
      </c>
      <c r="C13" s="33" t="s">
        <v>178</v>
      </c>
      <c r="D13" s="4" t="s">
        <v>65</v>
      </c>
      <c r="E13" s="4" t="s">
        <v>120</v>
      </c>
      <c r="F13" s="4" t="s">
        <v>110</v>
      </c>
      <c r="G13" s="4" t="s">
        <v>145</v>
      </c>
      <c r="H13" s="18" t="s">
        <v>144</v>
      </c>
      <c r="I13" s="4"/>
      <c r="J13" s="4"/>
      <c r="K13" s="4"/>
      <c r="L13" s="4"/>
      <c r="M13" s="4"/>
      <c r="N13" s="7" t="s">
        <v>179</v>
      </c>
      <c r="O13" s="4" t="s">
        <v>180</v>
      </c>
      <c r="P13" s="7" t="s">
        <v>181</v>
      </c>
      <c r="Q13" s="5" t="s">
        <v>182</v>
      </c>
      <c r="R13" s="4" t="s">
        <v>183</v>
      </c>
      <c r="S13" s="7" t="s">
        <v>184</v>
      </c>
      <c r="T13" s="4" t="s">
        <v>185</v>
      </c>
      <c r="U13" s="5" t="s">
        <v>186</v>
      </c>
      <c r="V13" s="4" t="s">
        <v>187</v>
      </c>
      <c r="W13" s="4" t="s">
        <v>188</v>
      </c>
      <c r="X13" s="4"/>
      <c r="Y13" s="4"/>
      <c r="Z13" s="4"/>
      <c r="AA13" s="4"/>
      <c r="AB13" s="4"/>
    </row>
    <row r="14" spans="1:28" ht="159.5" x14ac:dyDescent="0.35">
      <c r="A14" s="97" t="s">
        <v>176</v>
      </c>
      <c r="B14" s="3" t="s">
        <v>177</v>
      </c>
      <c r="C14" s="33" t="s">
        <v>178</v>
      </c>
      <c r="D14" s="4" t="s">
        <v>65</v>
      </c>
      <c r="E14" s="4" t="s">
        <v>120</v>
      </c>
      <c r="F14" s="4" t="s">
        <v>110</v>
      </c>
      <c r="G14" s="4" t="s">
        <v>145</v>
      </c>
      <c r="H14" s="8" t="s">
        <v>144</v>
      </c>
      <c r="I14" s="4"/>
      <c r="J14" s="4"/>
      <c r="K14" s="4"/>
      <c r="L14" s="4"/>
      <c r="M14" s="4"/>
      <c r="N14" s="7" t="s">
        <v>189</v>
      </c>
      <c r="O14" s="4" t="s">
        <v>190</v>
      </c>
      <c r="P14" s="7" t="s">
        <v>181</v>
      </c>
      <c r="Q14" s="5" t="s">
        <v>191</v>
      </c>
      <c r="R14" s="4" t="s">
        <v>192</v>
      </c>
      <c r="S14" s="7" t="s">
        <v>193</v>
      </c>
      <c r="T14" s="4" t="s">
        <v>194</v>
      </c>
      <c r="U14" s="5" t="s">
        <v>186</v>
      </c>
      <c r="V14" s="4" t="s">
        <v>187</v>
      </c>
      <c r="W14" s="4" t="s">
        <v>188</v>
      </c>
      <c r="X14" s="4"/>
      <c r="Y14" s="4"/>
      <c r="Z14" s="4"/>
      <c r="AA14" s="4"/>
      <c r="AB14" s="4"/>
    </row>
    <row r="15" spans="1:28" ht="159.5" x14ac:dyDescent="0.35">
      <c r="A15" s="97" t="s">
        <v>176</v>
      </c>
      <c r="B15" s="3" t="s">
        <v>177</v>
      </c>
      <c r="C15" s="33" t="s">
        <v>178</v>
      </c>
      <c r="D15" s="5" t="s">
        <v>65</v>
      </c>
      <c r="E15" s="4" t="s">
        <v>120</v>
      </c>
      <c r="F15" s="4" t="s">
        <v>110</v>
      </c>
      <c r="G15" s="4" t="s">
        <v>145</v>
      </c>
      <c r="H15" s="8" t="s">
        <v>144</v>
      </c>
      <c r="I15" s="4"/>
      <c r="J15" s="4"/>
      <c r="K15" s="4"/>
      <c r="L15" s="4"/>
      <c r="M15" s="4"/>
      <c r="N15" s="7" t="s">
        <v>195</v>
      </c>
      <c r="O15" s="4" t="s">
        <v>180</v>
      </c>
      <c r="P15" s="7" t="s">
        <v>196</v>
      </c>
      <c r="Q15" s="5" t="s">
        <v>197</v>
      </c>
      <c r="R15" s="4" t="s">
        <v>198</v>
      </c>
      <c r="S15" s="7" t="s">
        <v>199</v>
      </c>
      <c r="T15" s="4" t="s">
        <v>200</v>
      </c>
      <c r="U15" s="5" t="s">
        <v>186</v>
      </c>
      <c r="V15" s="4" t="s">
        <v>187</v>
      </c>
      <c r="W15" s="4" t="s">
        <v>188</v>
      </c>
      <c r="X15" s="4"/>
      <c r="Y15" s="4"/>
      <c r="Z15" s="4"/>
      <c r="AA15" s="4"/>
      <c r="AB15" s="4"/>
    </row>
    <row r="16" spans="1:28" ht="159.5" x14ac:dyDescent="0.35">
      <c r="A16" s="97" t="s">
        <v>176</v>
      </c>
      <c r="B16" s="3" t="s">
        <v>177</v>
      </c>
      <c r="C16" s="33" t="s">
        <v>178</v>
      </c>
      <c r="D16" s="5" t="s">
        <v>65</v>
      </c>
      <c r="E16" s="4" t="s">
        <v>120</v>
      </c>
      <c r="F16" s="4" t="s">
        <v>110</v>
      </c>
      <c r="G16" s="4" t="s">
        <v>145</v>
      </c>
      <c r="H16" s="8" t="s">
        <v>144</v>
      </c>
      <c r="I16" s="4"/>
      <c r="J16" s="4"/>
      <c r="K16" s="4"/>
      <c r="L16" s="4"/>
      <c r="M16" s="4"/>
      <c r="N16" s="7" t="s">
        <v>201</v>
      </c>
      <c r="O16" s="4" t="s">
        <v>202</v>
      </c>
      <c r="P16" s="7" t="s">
        <v>196</v>
      </c>
      <c r="Q16" s="5" t="s">
        <v>203</v>
      </c>
      <c r="R16" s="4" t="s">
        <v>198</v>
      </c>
      <c r="S16" s="7" t="s">
        <v>204</v>
      </c>
      <c r="T16" s="4" t="s">
        <v>205</v>
      </c>
      <c r="U16" s="5" t="s">
        <v>186</v>
      </c>
      <c r="V16" s="4" t="s">
        <v>187</v>
      </c>
      <c r="W16" s="4" t="s">
        <v>188</v>
      </c>
      <c r="X16" s="4"/>
      <c r="Y16" s="4"/>
      <c r="Z16" s="4"/>
      <c r="AA16" s="4"/>
      <c r="AB16" s="4"/>
    </row>
    <row r="17" spans="1:28" ht="72.5" x14ac:dyDescent="0.35">
      <c r="A17" s="3" t="s">
        <v>39</v>
      </c>
      <c r="B17" s="3" t="s">
        <v>177</v>
      </c>
      <c r="C17" s="33" t="s">
        <v>178</v>
      </c>
      <c r="D17" s="4" t="s">
        <v>65</v>
      </c>
      <c r="E17" s="4" t="s">
        <v>120</v>
      </c>
      <c r="F17" s="4" t="s">
        <v>110</v>
      </c>
      <c r="G17" s="4" t="s">
        <v>145</v>
      </c>
      <c r="H17" s="8" t="s">
        <v>144</v>
      </c>
      <c r="I17" s="4" t="s">
        <v>206</v>
      </c>
      <c r="J17" s="4"/>
      <c r="K17" s="4"/>
      <c r="L17" s="4"/>
      <c r="M17" s="4"/>
      <c r="N17" s="7" t="s">
        <v>207</v>
      </c>
      <c r="O17" s="4" t="s">
        <v>202</v>
      </c>
      <c r="P17" s="7" t="s">
        <v>208</v>
      </c>
      <c r="Q17" s="5" t="s">
        <v>209</v>
      </c>
      <c r="R17" s="4" t="s">
        <v>210</v>
      </c>
      <c r="S17" s="7" t="s">
        <v>211</v>
      </c>
      <c r="T17" s="4" t="s">
        <v>212</v>
      </c>
      <c r="U17" s="5" t="s">
        <v>186</v>
      </c>
      <c r="V17" s="4" t="s">
        <v>187</v>
      </c>
      <c r="W17" s="4" t="s">
        <v>188</v>
      </c>
      <c r="X17" s="4"/>
      <c r="Y17" s="4"/>
      <c r="Z17" s="4"/>
      <c r="AA17" s="4"/>
      <c r="AB17" s="4"/>
    </row>
    <row r="18" spans="1:28" ht="87" x14ac:dyDescent="0.35">
      <c r="A18" s="3" t="s">
        <v>39</v>
      </c>
      <c r="B18" s="3" t="s">
        <v>177</v>
      </c>
      <c r="C18" s="33" t="s">
        <v>178</v>
      </c>
      <c r="D18" s="4" t="s">
        <v>65</v>
      </c>
      <c r="E18" s="4" t="s">
        <v>120</v>
      </c>
      <c r="F18" s="4" t="s">
        <v>110</v>
      </c>
      <c r="G18" s="4" t="s">
        <v>145</v>
      </c>
      <c r="H18" s="8" t="s">
        <v>144</v>
      </c>
      <c r="I18" s="4" t="s">
        <v>213</v>
      </c>
      <c r="J18" s="4"/>
      <c r="K18" s="4"/>
      <c r="L18" s="4"/>
      <c r="M18" s="4"/>
      <c r="N18" s="7" t="s">
        <v>214</v>
      </c>
      <c r="O18" s="4" t="s">
        <v>190</v>
      </c>
      <c r="P18" s="7" t="s">
        <v>208</v>
      </c>
      <c r="Q18" s="5" t="s">
        <v>209</v>
      </c>
      <c r="R18" s="4" t="s">
        <v>215</v>
      </c>
      <c r="S18" s="7" t="s">
        <v>216</v>
      </c>
      <c r="T18" s="4" t="s">
        <v>217</v>
      </c>
      <c r="U18" s="5" t="s">
        <v>186</v>
      </c>
      <c r="V18" s="4" t="s">
        <v>187</v>
      </c>
      <c r="W18" s="4" t="s">
        <v>188</v>
      </c>
      <c r="X18" s="4"/>
      <c r="Y18" s="4"/>
      <c r="Z18" s="4"/>
      <c r="AA18" s="4"/>
      <c r="AB18" s="4"/>
    </row>
    <row r="19" spans="1:28" ht="159.5" x14ac:dyDescent="0.35">
      <c r="A19" s="97" t="s">
        <v>176</v>
      </c>
      <c r="B19" s="3" t="s">
        <v>177</v>
      </c>
      <c r="C19" s="33" t="s">
        <v>178</v>
      </c>
      <c r="D19" s="4" t="s">
        <v>65</v>
      </c>
      <c r="E19" s="4" t="s">
        <v>120</v>
      </c>
      <c r="F19" s="4" t="s">
        <v>110</v>
      </c>
      <c r="G19" s="4" t="s">
        <v>145</v>
      </c>
      <c r="H19" s="8" t="s">
        <v>144</v>
      </c>
      <c r="I19" s="4"/>
      <c r="J19" s="4"/>
      <c r="K19" s="4"/>
      <c r="L19" s="4"/>
      <c r="M19" s="4"/>
      <c r="N19" s="7" t="s">
        <v>218</v>
      </c>
      <c r="O19" s="4" t="s">
        <v>202</v>
      </c>
      <c r="P19" s="7" t="s">
        <v>181</v>
      </c>
      <c r="Q19" s="5" t="s">
        <v>219</v>
      </c>
      <c r="R19" s="4" t="s">
        <v>220</v>
      </c>
      <c r="S19" s="7" t="s">
        <v>221</v>
      </c>
      <c r="T19" s="4" t="s">
        <v>222</v>
      </c>
      <c r="U19" s="5" t="s">
        <v>186</v>
      </c>
      <c r="V19" s="4" t="s">
        <v>187</v>
      </c>
      <c r="W19" s="4" t="s">
        <v>188</v>
      </c>
      <c r="X19" s="4"/>
      <c r="Y19" s="4"/>
      <c r="Z19" s="4"/>
      <c r="AA19" s="4"/>
      <c r="AB19" s="4"/>
    </row>
    <row r="20" spans="1:28" ht="159.5" x14ac:dyDescent="0.35">
      <c r="A20" s="97" t="s">
        <v>176</v>
      </c>
      <c r="B20" s="3" t="s">
        <v>177</v>
      </c>
      <c r="C20" s="33" t="s">
        <v>178</v>
      </c>
      <c r="D20" s="4" t="s">
        <v>65</v>
      </c>
      <c r="E20" s="4" t="s">
        <v>120</v>
      </c>
      <c r="F20" s="4" t="s">
        <v>110</v>
      </c>
      <c r="G20" s="4" t="s">
        <v>145</v>
      </c>
      <c r="H20" s="8" t="s">
        <v>144</v>
      </c>
      <c r="I20" s="4"/>
      <c r="J20" s="4"/>
      <c r="K20" s="4"/>
      <c r="L20" s="4"/>
      <c r="M20" s="4"/>
      <c r="N20" s="6" t="s">
        <v>223</v>
      </c>
      <c r="O20" s="4" t="s">
        <v>180</v>
      </c>
      <c r="P20" s="7" t="s">
        <v>208</v>
      </c>
      <c r="Q20" s="5" t="s">
        <v>224</v>
      </c>
      <c r="R20" s="4" t="s">
        <v>225</v>
      </c>
      <c r="S20" s="7" t="s">
        <v>226</v>
      </c>
      <c r="T20" s="4" t="s">
        <v>227</v>
      </c>
      <c r="U20" s="5" t="s">
        <v>186</v>
      </c>
      <c r="V20" s="4" t="s">
        <v>187</v>
      </c>
      <c r="W20" s="4" t="s">
        <v>188</v>
      </c>
      <c r="X20" s="4"/>
      <c r="Y20" s="4"/>
      <c r="Z20" s="4"/>
      <c r="AA20" s="4"/>
      <c r="AB20" s="4"/>
    </row>
    <row r="21" spans="1:28" ht="159.5" x14ac:dyDescent="0.35">
      <c r="A21" s="97" t="s">
        <v>176</v>
      </c>
      <c r="B21" s="3" t="s">
        <v>177</v>
      </c>
      <c r="C21" s="33" t="s">
        <v>178</v>
      </c>
      <c r="D21" s="4" t="s">
        <v>65</v>
      </c>
      <c r="E21" s="4" t="s">
        <v>120</v>
      </c>
      <c r="F21" s="4" t="s">
        <v>110</v>
      </c>
      <c r="G21" s="4" t="s">
        <v>145</v>
      </c>
      <c r="H21" s="8" t="s">
        <v>144</v>
      </c>
      <c r="I21" s="4"/>
      <c r="J21" s="4"/>
      <c r="K21" s="4"/>
      <c r="L21" s="4"/>
      <c r="M21" s="4"/>
      <c r="N21" s="7" t="s">
        <v>228</v>
      </c>
      <c r="O21" s="4" t="s">
        <v>202</v>
      </c>
      <c r="P21" s="7" t="s">
        <v>208</v>
      </c>
      <c r="Q21" s="5" t="s">
        <v>229</v>
      </c>
      <c r="R21" s="4" t="s">
        <v>230</v>
      </c>
      <c r="S21" s="7" t="s">
        <v>231</v>
      </c>
      <c r="T21" s="4" t="s">
        <v>232</v>
      </c>
      <c r="U21" s="5" t="s">
        <v>186</v>
      </c>
      <c r="V21" s="4" t="s">
        <v>187</v>
      </c>
      <c r="W21" s="4" t="s">
        <v>188</v>
      </c>
      <c r="X21" s="4"/>
      <c r="Y21" s="4"/>
      <c r="Z21" s="4"/>
      <c r="AA21" s="4"/>
      <c r="AB21" s="4"/>
    </row>
    <row r="22" spans="1:28" ht="159.5" x14ac:dyDescent="0.35">
      <c r="A22" s="97" t="s">
        <v>176</v>
      </c>
      <c r="B22" s="3" t="s">
        <v>177</v>
      </c>
      <c r="C22" s="33" t="s">
        <v>178</v>
      </c>
      <c r="D22" s="4" t="s">
        <v>65</v>
      </c>
      <c r="E22" s="4" t="s">
        <v>120</v>
      </c>
      <c r="F22" s="4" t="s">
        <v>110</v>
      </c>
      <c r="G22" s="4" t="s">
        <v>145</v>
      </c>
      <c r="H22" s="8" t="s">
        <v>144</v>
      </c>
      <c r="I22" s="4"/>
      <c r="J22" s="4"/>
      <c r="K22" s="4"/>
      <c r="L22" s="4"/>
      <c r="M22" s="4"/>
      <c r="N22" s="7" t="s">
        <v>233</v>
      </c>
      <c r="O22" s="4" t="s">
        <v>202</v>
      </c>
      <c r="P22" s="7" t="s">
        <v>208</v>
      </c>
      <c r="Q22" s="5" t="s">
        <v>229</v>
      </c>
      <c r="R22" s="4" t="s">
        <v>234</v>
      </c>
      <c r="S22" s="7" t="s">
        <v>235</v>
      </c>
      <c r="T22" s="4" t="s">
        <v>236</v>
      </c>
      <c r="U22" s="5" t="s">
        <v>186</v>
      </c>
      <c r="V22" s="4" t="s">
        <v>187</v>
      </c>
      <c r="W22" s="4" t="s">
        <v>188</v>
      </c>
      <c r="X22" s="4"/>
      <c r="Y22" s="4"/>
      <c r="Z22" s="4"/>
      <c r="AA22" s="4"/>
      <c r="AB22" s="4"/>
    </row>
    <row r="23" spans="1:28" ht="159.5" x14ac:dyDescent="0.35">
      <c r="A23" s="97" t="s">
        <v>176</v>
      </c>
      <c r="B23" s="3" t="s">
        <v>177</v>
      </c>
      <c r="C23" s="33" t="s">
        <v>143</v>
      </c>
      <c r="D23" s="5" t="s">
        <v>65</v>
      </c>
      <c r="E23" s="4" t="s">
        <v>120</v>
      </c>
      <c r="F23" s="4" t="s">
        <v>110</v>
      </c>
      <c r="G23" s="4" t="s">
        <v>142</v>
      </c>
      <c r="H23" s="8" t="s">
        <v>141</v>
      </c>
      <c r="I23" s="4"/>
      <c r="J23" s="4"/>
      <c r="K23" s="4"/>
      <c r="L23" s="4"/>
      <c r="M23" s="4"/>
      <c r="N23" s="7" t="s">
        <v>237</v>
      </c>
      <c r="O23" s="4" t="s">
        <v>190</v>
      </c>
      <c r="P23" s="7" t="s">
        <v>208</v>
      </c>
      <c r="Q23" s="5" t="s">
        <v>238</v>
      </c>
      <c r="R23" s="4" t="s">
        <v>198</v>
      </c>
      <c r="S23" s="7" t="s">
        <v>239</v>
      </c>
      <c r="T23" s="4" t="s">
        <v>240</v>
      </c>
      <c r="U23" s="5" t="s">
        <v>186</v>
      </c>
      <c r="V23" s="4" t="s">
        <v>187</v>
      </c>
      <c r="W23" s="4" t="s">
        <v>188</v>
      </c>
      <c r="X23" s="4"/>
      <c r="Y23" s="4"/>
      <c r="Z23" s="4"/>
      <c r="AA23" s="4"/>
      <c r="AB23" s="4"/>
    </row>
    <row r="24" spans="1:28" ht="159.5" x14ac:dyDescent="0.35">
      <c r="A24" s="97" t="s">
        <v>176</v>
      </c>
      <c r="B24" s="3" t="s">
        <v>177</v>
      </c>
      <c r="C24" s="33" t="s">
        <v>143</v>
      </c>
      <c r="D24" s="5" t="s">
        <v>65</v>
      </c>
      <c r="E24" s="4" t="s">
        <v>120</v>
      </c>
      <c r="F24" s="4" t="s">
        <v>110</v>
      </c>
      <c r="G24" s="4" t="s">
        <v>142</v>
      </c>
      <c r="H24" s="8" t="s">
        <v>141</v>
      </c>
      <c r="I24" s="4"/>
      <c r="J24" s="4"/>
      <c r="K24" s="4"/>
      <c r="L24" s="4"/>
      <c r="M24" s="4"/>
      <c r="N24" s="7" t="s">
        <v>241</v>
      </c>
      <c r="O24" s="4" t="s">
        <v>202</v>
      </c>
      <c r="P24" s="7" t="s">
        <v>196</v>
      </c>
      <c r="Q24" s="5" t="s">
        <v>242</v>
      </c>
      <c r="R24" s="4" t="s">
        <v>243</v>
      </c>
      <c r="S24" s="7" t="s">
        <v>244</v>
      </c>
      <c r="T24" s="4" t="s">
        <v>245</v>
      </c>
      <c r="U24" s="5" t="s">
        <v>186</v>
      </c>
      <c r="V24" s="4" t="s">
        <v>187</v>
      </c>
      <c r="W24" s="4" t="s">
        <v>188</v>
      </c>
      <c r="X24" s="4"/>
      <c r="Y24" s="4"/>
      <c r="Z24" s="4"/>
      <c r="AA24" s="4"/>
      <c r="AB24" s="4"/>
    </row>
    <row r="25" spans="1:28" ht="159.5" x14ac:dyDescent="0.35">
      <c r="A25" s="97" t="s">
        <v>176</v>
      </c>
      <c r="B25" s="3" t="s">
        <v>177</v>
      </c>
      <c r="C25" s="33" t="s">
        <v>119</v>
      </c>
      <c r="D25" s="5" t="s">
        <v>65</v>
      </c>
      <c r="E25" s="4" t="s">
        <v>120</v>
      </c>
      <c r="F25" s="4" t="s">
        <v>110</v>
      </c>
      <c r="G25" s="4" t="s">
        <v>118</v>
      </c>
      <c r="H25" s="8" t="s">
        <v>117</v>
      </c>
      <c r="I25" s="4"/>
      <c r="J25" s="4"/>
      <c r="K25" s="4"/>
      <c r="L25" s="4"/>
      <c r="M25" s="4"/>
      <c r="N25" s="7" t="s">
        <v>246</v>
      </c>
      <c r="O25" s="4" t="s">
        <v>190</v>
      </c>
      <c r="P25" s="7" t="s">
        <v>247</v>
      </c>
      <c r="Q25" s="5" t="s">
        <v>248</v>
      </c>
      <c r="R25" s="4" t="s">
        <v>249</v>
      </c>
      <c r="S25" s="7" t="s">
        <v>250</v>
      </c>
      <c r="T25" s="4" t="s">
        <v>251</v>
      </c>
      <c r="U25" s="5" t="s">
        <v>186</v>
      </c>
      <c r="V25" s="4" t="s">
        <v>187</v>
      </c>
      <c r="W25" s="4" t="s">
        <v>188</v>
      </c>
      <c r="X25" s="4"/>
      <c r="Y25" s="4"/>
      <c r="Z25" s="4"/>
      <c r="AA25" s="4"/>
      <c r="AB25" s="4"/>
    </row>
    <row r="26" spans="1:28" ht="159.5" x14ac:dyDescent="0.35">
      <c r="A26" s="97" t="s">
        <v>176</v>
      </c>
      <c r="B26" s="3" t="s">
        <v>177</v>
      </c>
      <c r="C26" s="33" t="s">
        <v>119</v>
      </c>
      <c r="D26" s="4" t="s">
        <v>65</v>
      </c>
      <c r="E26" s="4" t="s">
        <v>120</v>
      </c>
      <c r="F26" s="4" t="s">
        <v>110</v>
      </c>
      <c r="G26" s="4" t="s">
        <v>122</v>
      </c>
      <c r="H26" s="8" t="s">
        <v>121</v>
      </c>
      <c r="I26" s="4"/>
      <c r="J26" s="4"/>
      <c r="K26" s="4"/>
      <c r="L26" s="4"/>
      <c r="M26" s="4"/>
      <c r="N26" s="7" t="s">
        <v>246</v>
      </c>
      <c r="O26" s="4" t="s">
        <v>190</v>
      </c>
      <c r="P26" s="7" t="s">
        <v>247</v>
      </c>
      <c r="Q26" s="5" t="s">
        <v>248</v>
      </c>
      <c r="R26" s="4" t="s">
        <v>249</v>
      </c>
      <c r="S26" s="7" t="s">
        <v>250</v>
      </c>
      <c r="T26" s="4" t="s">
        <v>251</v>
      </c>
      <c r="U26" s="5" t="s">
        <v>186</v>
      </c>
      <c r="V26" s="4" t="s">
        <v>187</v>
      </c>
      <c r="W26" s="4" t="s">
        <v>188</v>
      </c>
      <c r="X26" s="4"/>
      <c r="Y26" s="4"/>
      <c r="Z26" s="4"/>
      <c r="AA26" s="4"/>
      <c r="AB26" s="4"/>
    </row>
    <row r="27" spans="1:28" ht="159.5" x14ac:dyDescent="0.35">
      <c r="A27" s="97" t="s">
        <v>176</v>
      </c>
      <c r="B27" s="3" t="s">
        <v>177</v>
      </c>
      <c r="C27" s="33" t="s">
        <v>119</v>
      </c>
      <c r="D27" s="4" t="s">
        <v>65</v>
      </c>
      <c r="E27" s="4" t="s">
        <v>120</v>
      </c>
      <c r="F27" s="4" t="s">
        <v>110</v>
      </c>
      <c r="G27" s="4" t="s">
        <v>118</v>
      </c>
      <c r="H27" s="8" t="s">
        <v>117</v>
      </c>
      <c r="I27" s="4"/>
      <c r="J27" s="4"/>
      <c r="K27" s="4"/>
      <c r="L27" s="4"/>
      <c r="M27" s="4"/>
      <c r="N27" s="7" t="s">
        <v>252</v>
      </c>
      <c r="O27" s="4" t="s">
        <v>190</v>
      </c>
      <c r="P27" s="7" t="s">
        <v>247</v>
      </c>
      <c r="Q27" s="5" t="s">
        <v>253</v>
      </c>
      <c r="R27" s="4" t="s">
        <v>254</v>
      </c>
      <c r="S27" s="7" t="s">
        <v>255</v>
      </c>
      <c r="T27" s="4" t="s">
        <v>256</v>
      </c>
      <c r="U27" s="5" t="s">
        <v>186</v>
      </c>
      <c r="V27" s="4" t="s">
        <v>187</v>
      </c>
      <c r="W27" s="4" t="s">
        <v>188</v>
      </c>
      <c r="X27" s="4"/>
      <c r="Y27" s="4"/>
      <c r="Z27" s="4"/>
      <c r="AA27" s="4"/>
      <c r="AB27" s="4"/>
    </row>
    <row r="28" spans="1:28" ht="159.5" x14ac:dyDescent="0.35">
      <c r="A28" s="9" t="s">
        <v>176</v>
      </c>
      <c r="B28" s="3" t="s">
        <v>177</v>
      </c>
      <c r="C28" s="33" t="s">
        <v>119</v>
      </c>
      <c r="D28" s="4" t="s">
        <v>65</v>
      </c>
      <c r="E28" s="4" t="s">
        <v>120</v>
      </c>
      <c r="F28" s="4" t="s">
        <v>110</v>
      </c>
      <c r="G28" s="4" t="s">
        <v>122</v>
      </c>
      <c r="H28" s="8" t="s">
        <v>121</v>
      </c>
      <c r="I28" s="4"/>
      <c r="J28" s="4"/>
      <c r="K28" s="4"/>
      <c r="L28" s="4"/>
      <c r="M28" s="4"/>
      <c r="N28" s="7" t="s">
        <v>252</v>
      </c>
      <c r="O28" s="4" t="s">
        <v>190</v>
      </c>
      <c r="P28" s="7" t="s">
        <v>247</v>
      </c>
      <c r="Q28" s="5" t="s">
        <v>253</v>
      </c>
      <c r="R28" s="4" t="s">
        <v>254</v>
      </c>
      <c r="S28" s="7" t="s">
        <v>255</v>
      </c>
      <c r="T28" s="4" t="s">
        <v>256</v>
      </c>
      <c r="U28" s="5" t="s">
        <v>186</v>
      </c>
      <c r="V28" s="4" t="s">
        <v>187</v>
      </c>
      <c r="W28" s="4" t="s">
        <v>188</v>
      </c>
      <c r="X28" s="4"/>
      <c r="Y28" s="4"/>
      <c r="Z28" s="4"/>
      <c r="AA28" s="4"/>
      <c r="AB28" s="4"/>
    </row>
    <row r="29" spans="1:28" ht="159.5" x14ac:dyDescent="0.35">
      <c r="A29" s="9" t="s">
        <v>176</v>
      </c>
      <c r="B29" s="3" t="s">
        <v>177</v>
      </c>
      <c r="C29" s="33" t="s">
        <v>119</v>
      </c>
      <c r="D29" s="4" t="s">
        <v>65</v>
      </c>
      <c r="E29" s="4" t="s">
        <v>120</v>
      </c>
      <c r="F29" s="4" t="s">
        <v>110</v>
      </c>
      <c r="G29" s="4" t="s">
        <v>118</v>
      </c>
      <c r="H29" s="8" t="s">
        <v>117</v>
      </c>
      <c r="I29" s="4"/>
      <c r="J29" s="4"/>
      <c r="K29" s="4"/>
      <c r="L29" s="4"/>
      <c r="M29" s="4"/>
      <c r="N29" s="6" t="s">
        <v>257</v>
      </c>
      <c r="O29" s="4" t="s">
        <v>190</v>
      </c>
      <c r="P29" s="7" t="s">
        <v>247</v>
      </c>
      <c r="Q29" s="5" t="s">
        <v>258</v>
      </c>
      <c r="R29" s="4" t="s">
        <v>259</v>
      </c>
      <c r="S29" s="7" t="s">
        <v>260</v>
      </c>
      <c r="T29" s="4" t="s">
        <v>261</v>
      </c>
      <c r="U29" s="5" t="s">
        <v>186</v>
      </c>
      <c r="V29" s="4" t="s">
        <v>187</v>
      </c>
      <c r="W29" s="4" t="s">
        <v>188</v>
      </c>
      <c r="X29" s="4"/>
      <c r="Y29" s="4"/>
      <c r="Z29" s="4"/>
      <c r="AA29" s="4"/>
      <c r="AB29" s="4"/>
    </row>
    <row r="30" spans="1:28" ht="159.5" x14ac:dyDescent="0.35">
      <c r="A30" s="9" t="s">
        <v>176</v>
      </c>
      <c r="B30" s="3" t="s">
        <v>177</v>
      </c>
      <c r="C30" s="33" t="s">
        <v>119</v>
      </c>
      <c r="D30" s="4" t="s">
        <v>65</v>
      </c>
      <c r="E30" s="4" t="s">
        <v>120</v>
      </c>
      <c r="F30" s="4" t="s">
        <v>110</v>
      </c>
      <c r="G30" s="4" t="s">
        <v>122</v>
      </c>
      <c r="H30" s="8" t="s">
        <v>121</v>
      </c>
      <c r="I30" s="4"/>
      <c r="J30" s="4"/>
      <c r="K30" s="4"/>
      <c r="L30" s="4"/>
      <c r="M30" s="4"/>
      <c r="N30" s="7" t="s">
        <v>257</v>
      </c>
      <c r="O30" s="4" t="s">
        <v>190</v>
      </c>
      <c r="P30" s="7" t="s">
        <v>247</v>
      </c>
      <c r="Q30" s="5" t="s">
        <v>258</v>
      </c>
      <c r="R30" s="4" t="s">
        <v>259</v>
      </c>
      <c r="S30" s="7" t="s">
        <v>260</v>
      </c>
      <c r="T30" s="4" t="s">
        <v>261</v>
      </c>
      <c r="U30" s="5" t="s">
        <v>186</v>
      </c>
      <c r="V30" s="4" t="s">
        <v>187</v>
      </c>
      <c r="W30" s="4" t="s">
        <v>188</v>
      </c>
      <c r="X30" s="4"/>
      <c r="Y30" s="4"/>
      <c r="Z30" s="4"/>
      <c r="AA30" s="4"/>
      <c r="AB30" s="4"/>
    </row>
    <row r="31" spans="1:28" ht="159.5" x14ac:dyDescent="0.35">
      <c r="A31" s="9" t="s">
        <v>176</v>
      </c>
      <c r="B31" s="3" t="s">
        <v>177</v>
      </c>
      <c r="C31" s="33" t="s">
        <v>119</v>
      </c>
      <c r="D31" s="4" t="s">
        <v>65</v>
      </c>
      <c r="E31" s="4" t="s">
        <v>120</v>
      </c>
      <c r="F31" s="4" t="s">
        <v>110</v>
      </c>
      <c r="G31" s="4" t="s">
        <v>118</v>
      </c>
      <c r="H31" s="8" t="s">
        <v>117</v>
      </c>
      <c r="I31" s="4"/>
      <c r="J31" s="4"/>
      <c r="K31" s="4"/>
      <c r="L31" s="4"/>
      <c r="M31" s="4"/>
      <c r="N31" s="7" t="s">
        <v>262</v>
      </c>
      <c r="O31" s="4" t="s">
        <v>190</v>
      </c>
      <c r="P31" s="7" t="s">
        <v>196</v>
      </c>
      <c r="Q31" s="5" t="s">
        <v>263</v>
      </c>
      <c r="R31" s="4" t="s">
        <v>264</v>
      </c>
      <c r="S31" s="7" t="s">
        <v>265</v>
      </c>
      <c r="T31" s="4" t="s">
        <v>266</v>
      </c>
      <c r="U31" s="5" t="s">
        <v>186</v>
      </c>
      <c r="V31" s="4" t="s">
        <v>187</v>
      </c>
      <c r="W31" s="4" t="s">
        <v>188</v>
      </c>
      <c r="X31" s="4"/>
      <c r="Y31" s="4"/>
      <c r="Z31" s="4"/>
      <c r="AA31" s="4"/>
      <c r="AB31" s="4"/>
    </row>
    <row r="32" spans="1:28" ht="159.5" x14ac:dyDescent="0.35">
      <c r="A32" s="9" t="s">
        <v>176</v>
      </c>
      <c r="B32" s="3" t="s">
        <v>177</v>
      </c>
      <c r="C32" s="33" t="s">
        <v>119</v>
      </c>
      <c r="D32" s="4" t="s">
        <v>65</v>
      </c>
      <c r="E32" s="4" t="s">
        <v>120</v>
      </c>
      <c r="F32" s="4" t="s">
        <v>110</v>
      </c>
      <c r="G32" s="4" t="s">
        <v>122</v>
      </c>
      <c r="H32" s="8" t="s">
        <v>121</v>
      </c>
      <c r="I32" s="4"/>
      <c r="J32" s="4"/>
      <c r="K32" s="4"/>
      <c r="L32" s="4"/>
      <c r="M32" s="4"/>
      <c r="N32" s="7" t="s">
        <v>262</v>
      </c>
      <c r="O32" s="4" t="s">
        <v>190</v>
      </c>
      <c r="P32" s="7" t="s">
        <v>196</v>
      </c>
      <c r="Q32" s="5" t="s">
        <v>263</v>
      </c>
      <c r="R32" s="4" t="s">
        <v>264</v>
      </c>
      <c r="S32" s="7" t="s">
        <v>265</v>
      </c>
      <c r="T32" s="4" t="s">
        <v>266</v>
      </c>
      <c r="U32" s="5" t="s">
        <v>186</v>
      </c>
      <c r="V32" s="4" t="s">
        <v>187</v>
      </c>
      <c r="W32" s="4" t="s">
        <v>188</v>
      </c>
      <c r="X32" s="4"/>
      <c r="Y32" s="4"/>
      <c r="Z32" s="4"/>
      <c r="AA32" s="4"/>
      <c r="AB32" s="4"/>
    </row>
    <row r="33" spans="1:28" ht="159.5" x14ac:dyDescent="0.35">
      <c r="A33" s="9" t="s">
        <v>176</v>
      </c>
      <c r="B33" s="3" t="s">
        <v>177</v>
      </c>
      <c r="C33" s="33" t="s">
        <v>119</v>
      </c>
      <c r="D33" s="4" t="s">
        <v>65</v>
      </c>
      <c r="E33" s="4" t="s">
        <v>120</v>
      </c>
      <c r="F33" s="4" t="s">
        <v>110</v>
      </c>
      <c r="G33" s="4" t="s">
        <v>118</v>
      </c>
      <c r="H33" s="8" t="s">
        <v>117</v>
      </c>
      <c r="I33" s="4"/>
      <c r="J33" s="4"/>
      <c r="K33" s="4"/>
      <c r="L33" s="4"/>
      <c r="M33" s="4"/>
      <c r="N33" s="7" t="s">
        <v>267</v>
      </c>
      <c r="O33" s="4" t="s">
        <v>190</v>
      </c>
      <c r="P33" s="7" t="s">
        <v>208</v>
      </c>
      <c r="Q33" s="5" t="s">
        <v>268</v>
      </c>
      <c r="R33" s="4" t="s">
        <v>269</v>
      </c>
      <c r="S33" s="7" t="s">
        <v>270</v>
      </c>
      <c r="T33" s="4" t="s">
        <v>271</v>
      </c>
      <c r="U33" s="5" t="s">
        <v>186</v>
      </c>
      <c r="V33" s="4" t="s">
        <v>187</v>
      </c>
      <c r="W33" s="4" t="s">
        <v>188</v>
      </c>
      <c r="X33" s="4"/>
      <c r="Y33" s="4"/>
      <c r="Z33" s="4"/>
      <c r="AA33" s="4"/>
      <c r="AB33" s="4"/>
    </row>
    <row r="34" spans="1:28" ht="159.5" x14ac:dyDescent="0.35">
      <c r="A34" s="9" t="s">
        <v>176</v>
      </c>
      <c r="B34" s="3" t="s">
        <v>177</v>
      </c>
      <c r="C34" s="33" t="s">
        <v>119</v>
      </c>
      <c r="D34" s="4" t="s">
        <v>65</v>
      </c>
      <c r="E34" s="4" t="s">
        <v>120</v>
      </c>
      <c r="F34" s="4" t="s">
        <v>110</v>
      </c>
      <c r="G34" s="4" t="s">
        <v>122</v>
      </c>
      <c r="H34" s="8" t="s">
        <v>121</v>
      </c>
      <c r="I34" s="4"/>
      <c r="J34" s="4"/>
      <c r="K34" s="4"/>
      <c r="L34" s="4"/>
      <c r="M34" s="4"/>
      <c r="N34" s="7" t="s">
        <v>267</v>
      </c>
      <c r="O34" s="4" t="s">
        <v>190</v>
      </c>
      <c r="P34" s="7" t="s">
        <v>208</v>
      </c>
      <c r="Q34" s="5" t="s">
        <v>268</v>
      </c>
      <c r="R34" s="4" t="s">
        <v>269</v>
      </c>
      <c r="S34" s="7" t="s">
        <v>270</v>
      </c>
      <c r="T34" s="4" t="s">
        <v>271</v>
      </c>
      <c r="U34" s="5" t="s">
        <v>186</v>
      </c>
      <c r="V34" s="4" t="s">
        <v>187</v>
      </c>
      <c r="W34" s="4" t="s">
        <v>188</v>
      </c>
      <c r="X34" s="4"/>
      <c r="Y34" s="4"/>
      <c r="Z34" s="4"/>
      <c r="AA34" s="4"/>
      <c r="AB34" s="4"/>
    </row>
    <row r="35" spans="1:28" ht="159.5" x14ac:dyDescent="0.35">
      <c r="A35" s="9" t="s">
        <v>176</v>
      </c>
      <c r="B35" s="3" t="s">
        <v>177</v>
      </c>
      <c r="C35" s="33" t="s">
        <v>119</v>
      </c>
      <c r="D35" s="4" t="s">
        <v>65</v>
      </c>
      <c r="E35" s="4" t="s">
        <v>120</v>
      </c>
      <c r="F35" s="4" t="s">
        <v>110</v>
      </c>
      <c r="G35" s="4" t="s">
        <v>118</v>
      </c>
      <c r="H35" s="8" t="s">
        <v>117</v>
      </c>
      <c r="I35" s="4"/>
      <c r="J35" s="4"/>
      <c r="K35" s="4"/>
      <c r="L35" s="4"/>
      <c r="M35" s="4"/>
      <c r="N35" s="7" t="s">
        <v>272</v>
      </c>
      <c r="O35" s="4" t="s">
        <v>202</v>
      </c>
      <c r="P35" s="7" t="s">
        <v>181</v>
      </c>
      <c r="Q35" s="5" t="s">
        <v>273</v>
      </c>
      <c r="R35" s="4" t="s">
        <v>274</v>
      </c>
      <c r="S35" s="7" t="s">
        <v>275</v>
      </c>
      <c r="T35" s="4" t="s">
        <v>276</v>
      </c>
      <c r="U35" s="5" t="s">
        <v>186</v>
      </c>
      <c r="V35" s="4" t="s">
        <v>187</v>
      </c>
      <c r="W35" s="4" t="s">
        <v>188</v>
      </c>
      <c r="X35" s="4"/>
      <c r="Y35" s="4"/>
      <c r="Z35" s="4"/>
      <c r="AA35" s="4"/>
      <c r="AB35" s="4"/>
    </row>
    <row r="36" spans="1:28" ht="159.5" x14ac:dyDescent="0.35">
      <c r="A36" s="9" t="s">
        <v>176</v>
      </c>
      <c r="B36" s="3" t="s">
        <v>177</v>
      </c>
      <c r="C36" s="33" t="s">
        <v>119</v>
      </c>
      <c r="D36" s="4" t="s">
        <v>65</v>
      </c>
      <c r="E36" s="4" t="s">
        <v>120</v>
      </c>
      <c r="F36" s="4" t="s">
        <v>110</v>
      </c>
      <c r="G36" s="4" t="s">
        <v>122</v>
      </c>
      <c r="H36" s="8" t="s">
        <v>121</v>
      </c>
      <c r="I36" s="4"/>
      <c r="J36" s="4"/>
      <c r="K36" s="4"/>
      <c r="L36" s="4"/>
      <c r="M36" s="4"/>
      <c r="N36" s="7" t="s">
        <v>272</v>
      </c>
      <c r="O36" s="4" t="s">
        <v>202</v>
      </c>
      <c r="P36" s="7" t="s">
        <v>181</v>
      </c>
      <c r="Q36" s="5" t="s">
        <v>273</v>
      </c>
      <c r="R36" s="4" t="s">
        <v>274</v>
      </c>
      <c r="S36" s="7" t="s">
        <v>275</v>
      </c>
      <c r="T36" s="4" t="s">
        <v>276</v>
      </c>
      <c r="U36" s="5" t="s">
        <v>186</v>
      </c>
      <c r="V36" s="4" t="s">
        <v>187</v>
      </c>
      <c r="W36" s="4" t="s">
        <v>188</v>
      </c>
      <c r="X36" s="4"/>
      <c r="Y36" s="4"/>
      <c r="Z36" s="4"/>
      <c r="AA36" s="4"/>
      <c r="AB36" s="4"/>
    </row>
    <row r="37" spans="1:28" ht="159.5" x14ac:dyDescent="0.35">
      <c r="A37" s="9" t="s">
        <v>176</v>
      </c>
      <c r="B37" s="3" t="s">
        <v>177</v>
      </c>
      <c r="C37" s="33" t="s">
        <v>119</v>
      </c>
      <c r="D37" s="4" t="s">
        <v>65</v>
      </c>
      <c r="E37" s="4" t="s">
        <v>120</v>
      </c>
      <c r="F37" s="4" t="s">
        <v>110</v>
      </c>
      <c r="G37" s="4" t="s">
        <v>118</v>
      </c>
      <c r="H37" s="8" t="s">
        <v>117</v>
      </c>
      <c r="I37" s="4"/>
      <c r="J37" s="4"/>
      <c r="K37" s="4"/>
      <c r="L37" s="4"/>
      <c r="M37" s="4"/>
      <c r="N37" s="7" t="s">
        <v>277</v>
      </c>
      <c r="O37" s="4" t="s">
        <v>190</v>
      </c>
      <c r="P37" s="7" t="s">
        <v>247</v>
      </c>
      <c r="Q37" s="5" t="s">
        <v>278</v>
      </c>
      <c r="R37" s="4" t="s">
        <v>279</v>
      </c>
      <c r="S37" s="7" t="s">
        <v>280</v>
      </c>
      <c r="T37" s="4" t="s">
        <v>281</v>
      </c>
      <c r="U37" s="5" t="s">
        <v>186</v>
      </c>
      <c r="V37" s="4" t="s">
        <v>187</v>
      </c>
      <c r="W37" s="4" t="s">
        <v>188</v>
      </c>
      <c r="X37" s="4"/>
      <c r="Y37" s="4"/>
      <c r="Z37" s="4"/>
      <c r="AA37" s="4"/>
      <c r="AB37" s="4"/>
    </row>
    <row r="38" spans="1:28" ht="159.5" x14ac:dyDescent="0.35">
      <c r="A38" s="9" t="s">
        <v>176</v>
      </c>
      <c r="B38" s="3" t="s">
        <v>177</v>
      </c>
      <c r="C38" s="33" t="s">
        <v>119</v>
      </c>
      <c r="D38" s="4" t="s">
        <v>65</v>
      </c>
      <c r="E38" s="4" t="s">
        <v>120</v>
      </c>
      <c r="F38" s="4" t="s">
        <v>110</v>
      </c>
      <c r="G38" s="4" t="s">
        <v>122</v>
      </c>
      <c r="H38" s="8" t="s">
        <v>121</v>
      </c>
      <c r="I38" s="4"/>
      <c r="J38" s="4"/>
      <c r="K38" s="4"/>
      <c r="L38" s="4"/>
      <c r="M38" s="4"/>
      <c r="N38" s="7" t="s">
        <v>277</v>
      </c>
      <c r="O38" s="4" t="s">
        <v>190</v>
      </c>
      <c r="P38" s="7" t="s">
        <v>247</v>
      </c>
      <c r="Q38" s="5" t="s">
        <v>278</v>
      </c>
      <c r="R38" s="4" t="s">
        <v>279</v>
      </c>
      <c r="S38" s="7" t="s">
        <v>280</v>
      </c>
      <c r="T38" s="4" t="s">
        <v>281</v>
      </c>
      <c r="U38" s="5" t="s">
        <v>186</v>
      </c>
      <c r="V38" s="4" t="s">
        <v>187</v>
      </c>
      <c r="W38" s="4" t="s">
        <v>188</v>
      </c>
      <c r="X38" s="4"/>
      <c r="Y38" s="4"/>
      <c r="Z38" s="4"/>
      <c r="AA38" s="4"/>
      <c r="AB38" s="4"/>
    </row>
    <row r="39" spans="1:28" ht="159.5" x14ac:dyDescent="0.35">
      <c r="A39" s="9" t="s">
        <v>176</v>
      </c>
      <c r="B39" s="3" t="s">
        <v>177</v>
      </c>
      <c r="C39" s="33" t="s">
        <v>96</v>
      </c>
      <c r="D39" s="4" t="s">
        <v>65</v>
      </c>
      <c r="E39" s="4" t="s">
        <v>81</v>
      </c>
      <c r="F39" s="4" t="s">
        <v>63</v>
      </c>
      <c r="G39" s="4" t="s">
        <v>95</v>
      </c>
      <c r="H39" s="8" t="s">
        <v>94</v>
      </c>
      <c r="I39" s="4"/>
      <c r="J39" s="4"/>
      <c r="K39" s="4"/>
      <c r="L39" s="4"/>
      <c r="M39" s="4"/>
      <c r="N39" s="7" t="s">
        <v>282</v>
      </c>
      <c r="O39" s="4" t="s">
        <v>202</v>
      </c>
      <c r="P39" s="7" t="s">
        <v>208</v>
      </c>
      <c r="Q39" s="5" t="s">
        <v>283</v>
      </c>
      <c r="R39" s="4" t="s">
        <v>284</v>
      </c>
      <c r="S39" s="7" t="s">
        <v>285</v>
      </c>
      <c r="T39" s="4" t="s">
        <v>286</v>
      </c>
      <c r="U39" s="5" t="s">
        <v>186</v>
      </c>
      <c r="V39" s="4" t="s">
        <v>187</v>
      </c>
      <c r="W39" s="4" t="s">
        <v>188</v>
      </c>
      <c r="X39" s="4"/>
      <c r="Y39" s="4"/>
      <c r="Z39" s="4"/>
      <c r="AA39" s="4"/>
      <c r="AB39" s="4"/>
    </row>
    <row r="40" spans="1:28" ht="159.5" x14ac:dyDescent="0.35">
      <c r="A40" s="9" t="s">
        <v>176</v>
      </c>
      <c r="B40" s="3" t="s">
        <v>177</v>
      </c>
      <c r="C40" s="33" t="s">
        <v>96</v>
      </c>
      <c r="D40" s="4" t="s">
        <v>65</v>
      </c>
      <c r="E40" s="4" t="s">
        <v>81</v>
      </c>
      <c r="F40" s="4" t="s">
        <v>63</v>
      </c>
      <c r="G40" s="4" t="s">
        <v>95</v>
      </c>
      <c r="H40" s="8" t="s">
        <v>94</v>
      </c>
      <c r="I40" s="4"/>
      <c r="J40" s="4"/>
      <c r="K40" s="4"/>
      <c r="L40" s="4"/>
      <c r="M40" s="4"/>
      <c r="N40" s="7" t="s">
        <v>287</v>
      </c>
      <c r="O40" s="4" t="s">
        <v>180</v>
      </c>
      <c r="P40" s="7" t="s">
        <v>181</v>
      </c>
      <c r="Q40" s="5" t="s">
        <v>288</v>
      </c>
      <c r="R40" s="4" t="s">
        <v>289</v>
      </c>
      <c r="S40" s="7" t="s">
        <v>290</v>
      </c>
      <c r="T40" s="4" t="s">
        <v>291</v>
      </c>
      <c r="U40" s="5" t="s">
        <v>186</v>
      </c>
      <c r="V40" s="4" t="s">
        <v>187</v>
      </c>
      <c r="W40" s="4" t="s">
        <v>188</v>
      </c>
      <c r="X40" s="4"/>
      <c r="Y40" s="4"/>
      <c r="Z40" s="4"/>
      <c r="AA40" s="4"/>
      <c r="AB40" s="4"/>
    </row>
    <row r="41" spans="1:28" ht="72.5" x14ac:dyDescent="0.35">
      <c r="A41" s="9" t="s">
        <v>39</v>
      </c>
      <c r="B41" s="3" t="s">
        <v>177</v>
      </c>
      <c r="C41" s="33" t="s">
        <v>292</v>
      </c>
      <c r="D41" s="4" t="s">
        <v>65</v>
      </c>
      <c r="E41" s="4" t="s">
        <v>75</v>
      </c>
      <c r="F41" s="4" t="s">
        <v>74</v>
      </c>
      <c r="G41" s="4" t="s">
        <v>77</v>
      </c>
      <c r="H41" s="8" t="s">
        <v>76</v>
      </c>
      <c r="I41" s="4" t="s">
        <v>293</v>
      </c>
      <c r="J41" s="4"/>
      <c r="K41" s="4"/>
      <c r="L41" s="4"/>
      <c r="M41" s="4"/>
      <c r="N41" s="7" t="s">
        <v>294</v>
      </c>
      <c r="O41" s="4" t="s">
        <v>190</v>
      </c>
      <c r="P41" s="7" t="s">
        <v>247</v>
      </c>
      <c r="Q41" s="5" t="s">
        <v>295</v>
      </c>
      <c r="R41" s="4" t="s">
        <v>296</v>
      </c>
      <c r="S41" s="7" t="s">
        <v>297</v>
      </c>
      <c r="T41" s="4" t="s">
        <v>298</v>
      </c>
      <c r="U41" s="5" t="s">
        <v>186</v>
      </c>
      <c r="V41" s="4" t="s">
        <v>187</v>
      </c>
      <c r="W41" s="4" t="s">
        <v>188</v>
      </c>
      <c r="X41" s="4"/>
      <c r="Y41" s="4"/>
      <c r="Z41" s="4"/>
      <c r="AA41" s="4"/>
      <c r="AB41" s="4"/>
    </row>
    <row r="42" spans="1:28" ht="72.5" x14ac:dyDescent="0.35">
      <c r="A42" s="9" t="s">
        <v>39</v>
      </c>
      <c r="B42" s="3" t="s">
        <v>177</v>
      </c>
      <c r="C42" s="33" t="s">
        <v>292</v>
      </c>
      <c r="D42" s="4" t="s">
        <v>65</v>
      </c>
      <c r="E42" s="4" t="s">
        <v>81</v>
      </c>
      <c r="F42" s="4" t="s">
        <v>63</v>
      </c>
      <c r="G42" s="4" t="s">
        <v>103</v>
      </c>
      <c r="H42" s="8" t="s">
        <v>102</v>
      </c>
      <c r="I42" s="4" t="s">
        <v>293</v>
      </c>
      <c r="J42" s="4"/>
      <c r="K42" s="4"/>
      <c r="L42" s="4"/>
      <c r="M42" s="4"/>
      <c r="N42" s="7" t="s">
        <v>294</v>
      </c>
      <c r="O42" s="4" t="s">
        <v>190</v>
      </c>
      <c r="P42" s="7" t="s">
        <v>247</v>
      </c>
      <c r="Q42" s="5" t="s">
        <v>295</v>
      </c>
      <c r="R42" s="4" t="s">
        <v>296</v>
      </c>
      <c r="S42" s="7" t="s">
        <v>297</v>
      </c>
      <c r="T42" s="4" t="s">
        <v>298</v>
      </c>
      <c r="U42" s="5" t="s">
        <v>186</v>
      </c>
      <c r="V42" s="4" t="s">
        <v>187</v>
      </c>
      <c r="W42" s="4" t="s">
        <v>188</v>
      </c>
      <c r="X42" s="4"/>
      <c r="Y42" s="4"/>
      <c r="Z42" s="4"/>
      <c r="AA42" s="4"/>
      <c r="AB42" s="4"/>
    </row>
    <row r="43" spans="1:28" ht="72.5" x14ac:dyDescent="0.35">
      <c r="A43" s="9" t="s">
        <v>39</v>
      </c>
      <c r="B43" s="3" t="s">
        <v>177</v>
      </c>
      <c r="C43" s="33" t="s">
        <v>292</v>
      </c>
      <c r="D43" s="4" t="s">
        <v>65</v>
      </c>
      <c r="E43" s="4" t="s">
        <v>120</v>
      </c>
      <c r="F43" s="4" t="s">
        <v>110</v>
      </c>
      <c r="G43" s="4" t="s">
        <v>140</v>
      </c>
      <c r="H43" s="8" t="s">
        <v>139</v>
      </c>
      <c r="I43" s="4" t="s">
        <v>293</v>
      </c>
      <c r="J43" s="4"/>
      <c r="K43" s="4"/>
      <c r="L43" s="4"/>
      <c r="M43" s="4"/>
      <c r="N43" s="7" t="s">
        <v>294</v>
      </c>
      <c r="O43" s="4" t="s">
        <v>190</v>
      </c>
      <c r="P43" s="7" t="s">
        <v>247</v>
      </c>
      <c r="Q43" s="5" t="s">
        <v>295</v>
      </c>
      <c r="R43" s="4" t="s">
        <v>296</v>
      </c>
      <c r="S43" s="7" t="s">
        <v>297</v>
      </c>
      <c r="T43" s="4" t="s">
        <v>298</v>
      </c>
      <c r="U43" s="5" t="s">
        <v>186</v>
      </c>
      <c r="V43" s="4" t="s">
        <v>187</v>
      </c>
      <c r="W43" s="4" t="s">
        <v>188</v>
      </c>
      <c r="X43" s="4"/>
      <c r="Y43" s="4"/>
      <c r="Z43" s="4"/>
      <c r="AA43" s="4"/>
      <c r="AB43" s="4"/>
    </row>
    <row r="44" spans="1:28" ht="159.5" x14ac:dyDescent="0.35">
      <c r="A44" s="9" t="s">
        <v>176</v>
      </c>
      <c r="B44" s="3" t="s">
        <v>177</v>
      </c>
      <c r="C44" s="33" t="s">
        <v>292</v>
      </c>
      <c r="D44" s="4" t="s">
        <v>65</v>
      </c>
      <c r="E44" s="4" t="s">
        <v>120</v>
      </c>
      <c r="F44" s="4" t="s">
        <v>110</v>
      </c>
      <c r="G44" s="4" t="s">
        <v>140</v>
      </c>
      <c r="H44" s="8" t="s">
        <v>139</v>
      </c>
      <c r="I44" s="4"/>
      <c r="J44" s="4"/>
      <c r="K44" s="4"/>
      <c r="L44" s="4"/>
      <c r="M44" s="4"/>
      <c r="N44" s="7" t="s">
        <v>299</v>
      </c>
      <c r="O44" s="4" t="s">
        <v>180</v>
      </c>
      <c r="P44" s="7" t="s">
        <v>300</v>
      </c>
      <c r="Q44" s="5" t="s">
        <v>301</v>
      </c>
      <c r="R44" s="4" t="s">
        <v>302</v>
      </c>
      <c r="S44" s="7" t="s">
        <v>303</v>
      </c>
      <c r="T44" s="4" t="s">
        <v>304</v>
      </c>
      <c r="U44" s="5" t="s">
        <v>186</v>
      </c>
      <c r="V44" s="4" t="s">
        <v>187</v>
      </c>
      <c r="W44" s="4" t="s">
        <v>188</v>
      </c>
      <c r="X44" s="4"/>
      <c r="Y44" s="4"/>
      <c r="Z44" s="4"/>
      <c r="AA44" s="4"/>
      <c r="AB44" s="4"/>
    </row>
    <row r="45" spans="1:28" ht="159.5" x14ac:dyDescent="0.35">
      <c r="A45" s="9" t="s">
        <v>176</v>
      </c>
      <c r="B45" s="3" t="s">
        <v>177</v>
      </c>
      <c r="C45" s="33" t="s">
        <v>292</v>
      </c>
      <c r="D45" s="4" t="s">
        <v>65</v>
      </c>
      <c r="E45" s="4" t="s">
        <v>81</v>
      </c>
      <c r="F45" s="4" t="s">
        <v>63</v>
      </c>
      <c r="G45" s="4" t="s">
        <v>103</v>
      </c>
      <c r="H45" s="8" t="s">
        <v>102</v>
      </c>
      <c r="I45" s="4"/>
      <c r="J45" s="4"/>
      <c r="K45" s="4"/>
      <c r="L45" s="4"/>
      <c r="M45" s="4"/>
      <c r="N45" s="7" t="s">
        <v>299</v>
      </c>
      <c r="O45" s="4" t="s">
        <v>180</v>
      </c>
      <c r="P45" s="7" t="s">
        <v>300</v>
      </c>
      <c r="Q45" s="5" t="s">
        <v>301</v>
      </c>
      <c r="R45" s="4" t="s">
        <v>302</v>
      </c>
      <c r="S45" s="7" t="s">
        <v>303</v>
      </c>
      <c r="T45" s="4" t="s">
        <v>304</v>
      </c>
      <c r="U45" s="5" t="s">
        <v>186</v>
      </c>
      <c r="V45" s="4" t="s">
        <v>187</v>
      </c>
      <c r="W45" s="4" t="s">
        <v>188</v>
      </c>
      <c r="X45" s="4"/>
      <c r="Y45" s="4"/>
      <c r="Z45" s="4"/>
      <c r="AA45" s="4"/>
      <c r="AB45" s="4"/>
    </row>
    <row r="46" spans="1:28" ht="159.5" x14ac:dyDescent="0.35">
      <c r="A46" s="9" t="s">
        <v>176</v>
      </c>
      <c r="B46" s="3" t="s">
        <v>177</v>
      </c>
      <c r="C46" s="33" t="s">
        <v>292</v>
      </c>
      <c r="D46" s="4" t="s">
        <v>65</v>
      </c>
      <c r="E46" s="4" t="s">
        <v>75</v>
      </c>
      <c r="F46" s="4" t="s">
        <v>74</v>
      </c>
      <c r="G46" s="4" t="s">
        <v>77</v>
      </c>
      <c r="H46" s="8" t="s">
        <v>76</v>
      </c>
      <c r="I46" s="4"/>
      <c r="J46" s="4"/>
      <c r="K46" s="4"/>
      <c r="L46" s="4"/>
      <c r="M46" s="4"/>
      <c r="N46" s="7" t="s">
        <v>299</v>
      </c>
      <c r="O46" s="4" t="s">
        <v>180</v>
      </c>
      <c r="P46" s="7" t="s">
        <v>300</v>
      </c>
      <c r="Q46" s="5" t="s">
        <v>301</v>
      </c>
      <c r="R46" s="4" t="s">
        <v>302</v>
      </c>
      <c r="S46" s="7" t="s">
        <v>303</v>
      </c>
      <c r="T46" s="4" t="s">
        <v>304</v>
      </c>
      <c r="U46" s="5" t="s">
        <v>186</v>
      </c>
      <c r="V46" s="4" t="s">
        <v>187</v>
      </c>
      <c r="W46" s="4" t="s">
        <v>188</v>
      </c>
      <c r="X46" s="4"/>
      <c r="Y46" s="4"/>
      <c r="Z46" s="4"/>
      <c r="AA46" s="4"/>
      <c r="AB46" s="4"/>
    </row>
    <row r="47" spans="1:28" ht="159.5" x14ac:dyDescent="0.35">
      <c r="A47" s="9" t="s">
        <v>176</v>
      </c>
      <c r="B47" s="3" t="s">
        <v>177</v>
      </c>
      <c r="C47" s="33" t="s">
        <v>292</v>
      </c>
      <c r="D47" s="4" t="s">
        <v>65</v>
      </c>
      <c r="E47" s="4" t="s">
        <v>120</v>
      </c>
      <c r="F47" s="4" t="s">
        <v>110</v>
      </c>
      <c r="G47" s="4" t="s">
        <v>140</v>
      </c>
      <c r="H47" s="8" t="s">
        <v>139</v>
      </c>
      <c r="I47" s="4"/>
      <c r="J47" s="4"/>
      <c r="K47" s="4"/>
      <c r="L47" s="4"/>
      <c r="M47" s="4"/>
      <c r="N47" s="7" t="s">
        <v>305</v>
      </c>
      <c r="O47" s="4" t="s">
        <v>180</v>
      </c>
      <c r="P47" s="7" t="s">
        <v>300</v>
      </c>
      <c r="Q47" s="5" t="s">
        <v>306</v>
      </c>
      <c r="R47" s="4" t="s">
        <v>307</v>
      </c>
      <c r="S47" s="7" t="s">
        <v>308</v>
      </c>
      <c r="T47" s="4" t="s">
        <v>309</v>
      </c>
      <c r="U47" s="5" t="s">
        <v>186</v>
      </c>
      <c r="V47" s="4" t="s">
        <v>187</v>
      </c>
      <c r="W47" s="4" t="s">
        <v>188</v>
      </c>
      <c r="X47" s="4"/>
      <c r="Y47" s="4"/>
      <c r="Z47" s="4"/>
      <c r="AA47" s="4"/>
      <c r="AB47" s="4"/>
    </row>
    <row r="48" spans="1:28" ht="159.5" x14ac:dyDescent="0.35">
      <c r="A48" s="9" t="s">
        <v>176</v>
      </c>
      <c r="B48" s="3" t="s">
        <v>177</v>
      </c>
      <c r="C48" s="33" t="s">
        <v>292</v>
      </c>
      <c r="D48" s="4" t="s">
        <v>65</v>
      </c>
      <c r="E48" s="4" t="s">
        <v>81</v>
      </c>
      <c r="F48" s="4" t="s">
        <v>63</v>
      </c>
      <c r="G48" s="4" t="s">
        <v>103</v>
      </c>
      <c r="H48" s="8" t="s">
        <v>102</v>
      </c>
      <c r="I48" s="4"/>
      <c r="J48" s="4"/>
      <c r="K48" s="4"/>
      <c r="L48" s="4"/>
      <c r="M48" s="4"/>
      <c r="N48" s="7" t="s">
        <v>305</v>
      </c>
      <c r="O48" s="4" t="s">
        <v>180</v>
      </c>
      <c r="P48" s="7" t="s">
        <v>300</v>
      </c>
      <c r="Q48" s="5" t="s">
        <v>306</v>
      </c>
      <c r="R48" s="4" t="s">
        <v>307</v>
      </c>
      <c r="S48" s="7" t="s">
        <v>308</v>
      </c>
      <c r="T48" s="4" t="s">
        <v>309</v>
      </c>
      <c r="U48" s="5" t="s">
        <v>186</v>
      </c>
      <c r="V48" s="4" t="s">
        <v>187</v>
      </c>
      <c r="W48" s="4" t="s">
        <v>188</v>
      </c>
      <c r="X48" s="4"/>
      <c r="Y48" s="4"/>
      <c r="Z48" s="4"/>
      <c r="AA48" s="4"/>
      <c r="AB48" s="4"/>
    </row>
    <row r="49" spans="1:28" ht="159.5" x14ac:dyDescent="0.35">
      <c r="A49" s="9" t="s">
        <v>176</v>
      </c>
      <c r="B49" s="3" t="s">
        <v>177</v>
      </c>
      <c r="C49" s="33" t="s">
        <v>292</v>
      </c>
      <c r="D49" s="4" t="s">
        <v>65</v>
      </c>
      <c r="E49" s="4" t="s">
        <v>75</v>
      </c>
      <c r="F49" s="4" t="s">
        <v>74</v>
      </c>
      <c r="G49" s="4" t="s">
        <v>77</v>
      </c>
      <c r="H49" s="8" t="s">
        <v>76</v>
      </c>
      <c r="I49" s="4"/>
      <c r="J49" s="4"/>
      <c r="K49" s="4"/>
      <c r="L49" s="4"/>
      <c r="M49" s="4"/>
      <c r="N49" s="7" t="s">
        <v>305</v>
      </c>
      <c r="O49" s="4" t="s">
        <v>180</v>
      </c>
      <c r="P49" s="7" t="s">
        <v>300</v>
      </c>
      <c r="Q49" s="5" t="s">
        <v>306</v>
      </c>
      <c r="R49" s="4" t="s">
        <v>307</v>
      </c>
      <c r="S49" s="7" t="s">
        <v>308</v>
      </c>
      <c r="T49" s="4" t="s">
        <v>309</v>
      </c>
      <c r="U49" s="5" t="s">
        <v>186</v>
      </c>
      <c r="V49" s="4" t="s">
        <v>187</v>
      </c>
      <c r="W49" s="4" t="s">
        <v>188</v>
      </c>
      <c r="X49" s="4"/>
      <c r="Y49" s="4"/>
      <c r="Z49" s="4"/>
      <c r="AA49" s="4"/>
      <c r="AB49" s="4"/>
    </row>
    <row r="50" spans="1:28" ht="159.5" x14ac:dyDescent="0.35">
      <c r="A50" s="9" t="s">
        <v>176</v>
      </c>
      <c r="B50" s="3" t="s">
        <v>177</v>
      </c>
      <c r="C50" s="33" t="s">
        <v>292</v>
      </c>
      <c r="D50" s="4" t="s">
        <v>65</v>
      </c>
      <c r="E50" s="4" t="s">
        <v>120</v>
      </c>
      <c r="F50" s="4" t="s">
        <v>110</v>
      </c>
      <c r="G50" s="4" t="s">
        <v>140</v>
      </c>
      <c r="H50" s="8" t="s">
        <v>139</v>
      </c>
      <c r="I50" s="4"/>
      <c r="J50" s="4"/>
      <c r="K50" s="4"/>
      <c r="L50" s="4"/>
      <c r="M50" s="4"/>
      <c r="N50" s="7" t="s">
        <v>310</v>
      </c>
      <c r="O50" s="4" t="s">
        <v>180</v>
      </c>
      <c r="P50" s="7" t="s">
        <v>181</v>
      </c>
      <c r="Q50" s="5" t="s">
        <v>311</v>
      </c>
      <c r="R50" s="4" t="s">
        <v>312</v>
      </c>
      <c r="S50" s="7" t="s">
        <v>313</v>
      </c>
      <c r="T50" s="4" t="s">
        <v>314</v>
      </c>
      <c r="U50" s="5" t="s">
        <v>186</v>
      </c>
      <c r="V50" s="4" t="s">
        <v>187</v>
      </c>
      <c r="W50" s="4" t="s">
        <v>188</v>
      </c>
      <c r="X50" s="4"/>
      <c r="Y50" s="4"/>
      <c r="Z50" s="4"/>
      <c r="AA50" s="4"/>
      <c r="AB50" s="4"/>
    </row>
    <row r="51" spans="1:28" ht="159.5" x14ac:dyDescent="0.35">
      <c r="A51" s="9" t="s">
        <v>176</v>
      </c>
      <c r="B51" s="3" t="s">
        <v>177</v>
      </c>
      <c r="C51" s="33" t="s">
        <v>292</v>
      </c>
      <c r="D51" s="4" t="s">
        <v>65</v>
      </c>
      <c r="E51" s="4" t="s">
        <v>81</v>
      </c>
      <c r="F51" s="4" t="s">
        <v>63</v>
      </c>
      <c r="G51" s="4" t="s">
        <v>103</v>
      </c>
      <c r="H51" s="8" t="s">
        <v>102</v>
      </c>
      <c r="I51" s="4"/>
      <c r="J51" s="4"/>
      <c r="K51" s="4"/>
      <c r="L51" s="4"/>
      <c r="M51" s="4"/>
      <c r="N51" s="7" t="s">
        <v>310</v>
      </c>
      <c r="O51" s="4" t="s">
        <v>180</v>
      </c>
      <c r="P51" s="7" t="s">
        <v>181</v>
      </c>
      <c r="Q51" s="5" t="s">
        <v>311</v>
      </c>
      <c r="R51" s="4" t="s">
        <v>312</v>
      </c>
      <c r="S51" s="7" t="s">
        <v>313</v>
      </c>
      <c r="T51" s="4" t="s">
        <v>314</v>
      </c>
      <c r="U51" s="5" t="s">
        <v>186</v>
      </c>
      <c r="V51" s="4" t="s">
        <v>187</v>
      </c>
      <c r="W51" s="4" t="s">
        <v>188</v>
      </c>
      <c r="X51" s="4"/>
      <c r="Y51" s="4"/>
      <c r="Z51" s="4"/>
      <c r="AA51" s="4"/>
      <c r="AB51" s="4"/>
    </row>
    <row r="52" spans="1:28" ht="159.5" x14ac:dyDescent="0.35">
      <c r="A52" s="9" t="s">
        <v>176</v>
      </c>
      <c r="B52" s="3" t="s">
        <v>177</v>
      </c>
      <c r="C52" s="33" t="s">
        <v>292</v>
      </c>
      <c r="D52" s="4" t="s">
        <v>65</v>
      </c>
      <c r="E52" s="4" t="s">
        <v>75</v>
      </c>
      <c r="F52" s="4" t="s">
        <v>74</v>
      </c>
      <c r="G52" s="4" t="s">
        <v>77</v>
      </c>
      <c r="H52" s="8" t="s">
        <v>76</v>
      </c>
      <c r="I52" s="4"/>
      <c r="J52" s="4"/>
      <c r="K52" s="4"/>
      <c r="L52" s="4"/>
      <c r="M52" s="4"/>
      <c r="N52" s="7" t="s">
        <v>310</v>
      </c>
      <c r="O52" s="4" t="s">
        <v>180</v>
      </c>
      <c r="P52" s="7" t="s">
        <v>181</v>
      </c>
      <c r="Q52" s="5" t="s">
        <v>311</v>
      </c>
      <c r="R52" s="4" t="s">
        <v>312</v>
      </c>
      <c r="S52" s="7" t="s">
        <v>313</v>
      </c>
      <c r="T52" s="4" t="s">
        <v>314</v>
      </c>
      <c r="U52" s="5" t="s">
        <v>186</v>
      </c>
      <c r="V52" s="4" t="s">
        <v>187</v>
      </c>
      <c r="W52" s="4" t="s">
        <v>188</v>
      </c>
      <c r="X52" s="4"/>
      <c r="Y52" s="4"/>
      <c r="Z52" s="4"/>
      <c r="AA52" s="4"/>
      <c r="AB52" s="4"/>
    </row>
    <row r="53" spans="1:28" ht="159.5" x14ac:dyDescent="0.35">
      <c r="A53" s="9" t="s">
        <v>176</v>
      </c>
      <c r="B53" s="3" t="s">
        <v>177</v>
      </c>
      <c r="C53" s="33" t="s">
        <v>106</v>
      </c>
      <c r="D53" s="4" t="s">
        <v>65</v>
      </c>
      <c r="E53" s="4" t="s">
        <v>107</v>
      </c>
      <c r="F53" s="4" t="s">
        <v>85</v>
      </c>
      <c r="G53" s="4" t="s">
        <v>105</v>
      </c>
      <c r="H53" s="8" t="s">
        <v>104</v>
      </c>
      <c r="I53" s="4"/>
      <c r="J53" s="4"/>
      <c r="K53" s="4"/>
      <c r="L53" s="4"/>
      <c r="M53" s="4"/>
      <c r="N53" s="7" t="s">
        <v>315</v>
      </c>
      <c r="O53" s="4" t="s">
        <v>180</v>
      </c>
      <c r="P53" s="7" t="s">
        <v>181</v>
      </c>
      <c r="Q53" s="5" t="s">
        <v>316</v>
      </c>
      <c r="R53" s="4" t="s">
        <v>317</v>
      </c>
      <c r="S53" s="7" t="s">
        <v>318</v>
      </c>
      <c r="T53" s="4" t="s">
        <v>319</v>
      </c>
      <c r="U53" s="5" t="s">
        <v>186</v>
      </c>
      <c r="V53" s="4" t="s">
        <v>187</v>
      </c>
      <c r="W53" s="4" t="s">
        <v>188</v>
      </c>
      <c r="X53" s="4"/>
      <c r="Y53" s="4"/>
      <c r="Z53" s="4"/>
      <c r="AA53" s="4"/>
      <c r="AB53" s="4"/>
    </row>
    <row r="54" spans="1:28" ht="159.5" x14ac:dyDescent="0.35">
      <c r="A54" s="9" t="s">
        <v>176</v>
      </c>
      <c r="B54" s="3" t="s">
        <v>177</v>
      </c>
      <c r="C54" s="33" t="s">
        <v>106</v>
      </c>
      <c r="D54" s="4" t="s">
        <v>65</v>
      </c>
      <c r="E54" s="4" t="s">
        <v>107</v>
      </c>
      <c r="F54" s="4" t="s">
        <v>110</v>
      </c>
      <c r="G54" s="4" t="s">
        <v>109</v>
      </c>
      <c r="H54" s="8" t="s">
        <v>108</v>
      </c>
      <c r="I54" s="4"/>
      <c r="J54" s="4"/>
      <c r="K54" s="4"/>
      <c r="L54" s="4"/>
      <c r="M54" s="4"/>
      <c r="N54" s="7" t="s">
        <v>315</v>
      </c>
      <c r="O54" s="4" t="s">
        <v>180</v>
      </c>
      <c r="P54" s="7" t="s">
        <v>181</v>
      </c>
      <c r="Q54" s="5" t="s">
        <v>316</v>
      </c>
      <c r="R54" s="4" t="s">
        <v>317</v>
      </c>
      <c r="S54" s="7" t="s">
        <v>318</v>
      </c>
      <c r="T54" s="4" t="s">
        <v>319</v>
      </c>
      <c r="U54" s="5" t="s">
        <v>186</v>
      </c>
      <c r="V54" s="4" t="s">
        <v>187</v>
      </c>
      <c r="W54" s="4" t="s">
        <v>188</v>
      </c>
      <c r="X54" s="4"/>
      <c r="Y54" s="4"/>
      <c r="Z54" s="4"/>
      <c r="AA54" s="4"/>
      <c r="AB54" s="4"/>
    </row>
    <row r="55" spans="1:28" ht="159.5" x14ac:dyDescent="0.35">
      <c r="A55" s="97" t="s">
        <v>176</v>
      </c>
      <c r="B55" s="3" t="s">
        <v>177</v>
      </c>
      <c r="C55" s="33" t="s">
        <v>106</v>
      </c>
      <c r="D55" s="4" t="s">
        <v>65</v>
      </c>
      <c r="E55" s="4" t="s">
        <v>107</v>
      </c>
      <c r="F55" s="4" t="s">
        <v>85</v>
      </c>
      <c r="G55" s="4" t="s">
        <v>105</v>
      </c>
      <c r="H55" s="8" t="s">
        <v>104</v>
      </c>
      <c r="I55" s="4"/>
      <c r="J55" s="4"/>
      <c r="K55" s="4"/>
      <c r="L55" s="4"/>
      <c r="M55" s="4"/>
      <c r="N55" s="7" t="s">
        <v>320</v>
      </c>
      <c r="O55" s="4" t="s">
        <v>202</v>
      </c>
      <c r="P55" s="7" t="s">
        <v>181</v>
      </c>
      <c r="Q55" s="5" t="s">
        <v>321</v>
      </c>
      <c r="R55" s="4" t="s">
        <v>322</v>
      </c>
      <c r="S55" s="7" t="s">
        <v>323</v>
      </c>
      <c r="T55" s="4" t="s">
        <v>324</v>
      </c>
      <c r="U55" s="5" t="s">
        <v>186</v>
      </c>
      <c r="V55" s="4" t="s">
        <v>187</v>
      </c>
      <c r="W55" s="4" t="s">
        <v>188</v>
      </c>
      <c r="X55" s="4"/>
      <c r="Y55" s="4"/>
      <c r="Z55" s="4"/>
      <c r="AA55" s="4"/>
      <c r="AB55" s="4"/>
    </row>
    <row r="56" spans="1:28" ht="159.5" x14ac:dyDescent="0.35">
      <c r="A56" s="97" t="s">
        <v>176</v>
      </c>
      <c r="B56" s="3" t="s">
        <v>177</v>
      </c>
      <c r="C56" s="33" t="s">
        <v>106</v>
      </c>
      <c r="D56" s="4" t="s">
        <v>65</v>
      </c>
      <c r="E56" s="4" t="s">
        <v>107</v>
      </c>
      <c r="F56" s="4" t="s">
        <v>110</v>
      </c>
      <c r="G56" s="4" t="s">
        <v>109</v>
      </c>
      <c r="H56" s="8" t="s">
        <v>108</v>
      </c>
      <c r="I56" s="4"/>
      <c r="J56" s="4"/>
      <c r="K56" s="4"/>
      <c r="L56" s="4"/>
      <c r="M56" s="4"/>
      <c r="N56" s="7" t="s">
        <v>320</v>
      </c>
      <c r="O56" s="4" t="s">
        <v>202</v>
      </c>
      <c r="P56" s="7" t="s">
        <v>181</v>
      </c>
      <c r="Q56" s="5" t="s">
        <v>321</v>
      </c>
      <c r="R56" s="4" t="s">
        <v>322</v>
      </c>
      <c r="S56" s="7" t="s">
        <v>323</v>
      </c>
      <c r="T56" s="4" t="s">
        <v>324</v>
      </c>
      <c r="U56" s="5" t="s">
        <v>186</v>
      </c>
      <c r="V56" s="4" t="s">
        <v>187</v>
      </c>
      <c r="W56" s="4" t="s">
        <v>188</v>
      </c>
      <c r="X56" s="4"/>
      <c r="Y56" s="4"/>
      <c r="Z56" s="4"/>
      <c r="AA56" s="4"/>
      <c r="AB56" s="4"/>
    </row>
    <row r="57" spans="1:28" ht="159.5" x14ac:dyDescent="0.35">
      <c r="A57" s="97" t="s">
        <v>176</v>
      </c>
      <c r="B57" s="3" t="s">
        <v>177</v>
      </c>
      <c r="C57" s="33" t="s">
        <v>325</v>
      </c>
      <c r="D57" s="4" t="s">
        <v>65</v>
      </c>
      <c r="E57" s="4" t="s">
        <v>152</v>
      </c>
      <c r="F57" s="4" t="s">
        <v>85</v>
      </c>
      <c r="G57" s="4" t="s">
        <v>151</v>
      </c>
      <c r="H57" s="8" t="s">
        <v>150</v>
      </c>
      <c r="I57" s="4"/>
      <c r="J57" s="4"/>
      <c r="K57" s="4"/>
      <c r="L57" s="4"/>
      <c r="M57" s="4"/>
      <c r="N57" s="7" t="s">
        <v>326</v>
      </c>
      <c r="O57" s="4" t="s">
        <v>202</v>
      </c>
      <c r="P57" s="7" t="s">
        <v>181</v>
      </c>
      <c r="Q57" s="5" t="s">
        <v>327</v>
      </c>
      <c r="R57" s="4" t="s">
        <v>328</v>
      </c>
      <c r="S57" s="7" t="s">
        <v>329</v>
      </c>
      <c r="T57" s="4" t="s">
        <v>330</v>
      </c>
      <c r="U57" s="5" t="s">
        <v>186</v>
      </c>
      <c r="V57" s="4" t="s">
        <v>187</v>
      </c>
      <c r="W57" s="4" t="s">
        <v>188</v>
      </c>
      <c r="X57" s="4"/>
      <c r="Y57" s="4"/>
      <c r="Z57" s="4"/>
      <c r="AA57" s="4"/>
      <c r="AB57" s="4"/>
    </row>
    <row r="58" spans="1:28" ht="159.5" x14ac:dyDescent="0.35">
      <c r="A58" s="97" t="s">
        <v>176</v>
      </c>
      <c r="B58" s="3" t="s">
        <v>177</v>
      </c>
      <c r="C58" s="33" t="s">
        <v>325</v>
      </c>
      <c r="D58" s="4" t="s">
        <v>65</v>
      </c>
      <c r="E58" s="4" t="s">
        <v>120</v>
      </c>
      <c r="F58" s="4" t="s">
        <v>110</v>
      </c>
      <c r="G58" s="4" t="s">
        <v>132</v>
      </c>
      <c r="H58" s="8" t="s">
        <v>131</v>
      </c>
      <c r="I58" s="4"/>
      <c r="J58" s="4"/>
      <c r="K58" s="4"/>
      <c r="L58" s="4"/>
      <c r="M58" s="4"/>
      <c r="N58" s="7" t="s">
        <v>326</v>
      </c>
      <c r="O58" s="4" t="s">
        <v>202</v>
      </c>
      <c r="P58" s="7" t="s">
        <v>181</v>
      </c>
      <c r="Q58" s="5" t="s">
        <v>327</v>
      </c>
      <c r="R58" s="4" t="s">
        <v>328</v>
      </c>
      <c r="S58" s="7" t="s">
        <v>329</v>
      </c>
      <c r="T58" s="4" t="s">
        <v>330</v>
      </c>
      <c r="U58" s="5" t="s">
        <v>186</v>
      </c>
      <c r="V58" s="4" t="s">
        <v>187</v>
      </c>
      <c r="W58" s="4" t="s">
        <v>188</v>
      </c>
      <c r="X58" s="4"/>
      <c r="Y58" s="4"/>
      <c r="Z58" s="4"/>
      <c r="AA58" s="4"/>
      <c r="AB58" s="4"/>
    </row>
    <row r="59" spans="1:28" ht="87" x14ac:dyDescent="0.35">
      <c r="A59" s="3" t="s">
        <v>39</v>
      </c>
      <c r="B59" s="3" t="s">
        <v>177</v>
      </c>
      <c r="C59" s="33" t="s">
        <v>325</v>
      </c>
      <c r="D59" s="4" t="s">
        <v>65</v>
      </c>
      <c r="E59" s="4" t="s">
        <v>120</v>
      </c>
      <c r="F59" s="4" t="s">
        <v>110</v>
      </c>
      <c r="G59" s="4" t="s">
        <v>132</v>
      </c>
      <c r="H59" s="8" t="s">
        <v>131</v>
      </c>
      <c r="I59" s="4" t="s">
        <v>331</v>
      </c>
      <c r="J59" s="4"/>
      <c r="K59" s="4"/>
      <c r="L59" s="4"/>
      <c r="M59" s="4"/>
      <c r="N59" s="7" t="s">
        <v>332</v>
      </c>
      <c r="O59" s="4" t="s">
        <v>180</v>
      </c>
      <c r="P59" s="7" t="s">
        <v>181</v>
      </c>
      <c r="Q59" s="5" t="s">
        <v>333</v>
      </c>
      <c r="R59" s="4" t="s">
        <v>334</v>
      </c>
      <c r="S59" s="7" t="s">
        <v>335</v>
      </c>
      <c r="T59" s="4" t="s">
        <v>336</v>
      </c>
      <c r="U59" s="5" t="s">
        <v>186</v>
      </c>
      <c r="V59" s="4" t="s">
        <v>187</v>
      </c>
      <c r="W59" s="4" t="s">
        <v>188</v>
      </c>
      <c r="X59" s="4"/>
      <c r="Y59" s="4"/>
      <c r="Z59" s="4"/>
      <c r="AA59" s="4"/>
      <c r="AB59" s="4"/>
    </row>
    <row r="60" spans="1:28" ht="87" x14ac:dyDescent="0.35">
      <c r="A60" s="3" t="s">
        <v>39</v>
      </c>
      <c r="B60" s="3" t="s">
        <v>177</v>
      </c>
      <c r="C60" s="33" t="s">
        <v>325</v>
      </c>
      <c r="D60" s="4" t="s">
        <v>65</v>
      </c>
      <c r="E60" s="4" t="s">
        <v>152</v>
      </c>
      <c r="F60" s="4" t="s">
        <v>85</v>
      </c>
      <c r="G60" s="4" t="s">
        <v>151</v>
      </c>
      <c r="H60" s="8" t="s">
        <v>150</v>
      </c>
      <c r="I60" s="4" t="s">
        <v>331</v>
      </c>
      <c r="J60" s="4"/>
      <c r="K60" s="4"/>
      <c r="L60" s="4"/>
      <c r="M60" s="4"/>
      <c r="N60" s="7" t="s">
        <v>332</v>
      </c>
      <c r="O60" s="4" t="s">
        <v>180</v>
      </c>
      <c r="P60" s="7" t="s">
        <v>181</v>
      </c>
      <c r="Q60" s="5" t="s">
        <v>333</v>
      </c>
      <c r="R60" s="4" t="s">
        <v>334</v>
      </c>
      <c r="S60" s="7" t="s">
        <v>335</v>
      </c>
      <c r="T60" s="4" t="s">
        <v>336</v>
      </c>
      <c r="U60" s="5" t="s">
        <v>186</v>
      </c>
      <c r="V60" s="4" t="s">
        <v>187</v>
      </c>
      <c r="W60" s="4" t="s">
        <v>188</v>
      </c>
      <c r="X60" s="4"/>
      <c r="Y60" s="4"/>
      <c r="Z60" s="4"/>
      <c r="AA60" s="4"/>
      <c r="AB60" s="4"/>
    </row>
    <row r="61" spans="1:28" ht="43.5" x14ac:dyDescent="0.35">
      <c r="A61" s="3" t="s">
        <v>39</v>
      </c>
      <c r="B61" s="3" t="s">
        <v>177</v>
      </c>
      <c r="C61" s="33" t="s">
        <v>337</v>
      </c>
      <c r="D61" s="4" t="s">
        <v>65</v>
      </c>
      <c r="E61" s="4" t="s">
        <v>120</v>
      </c>
      <c r="F61" s="4" t="s">
        <v>110</v>
      </c>
      <c r="G61" s="4" t="s">
        <v>135</v>
      </c>
      <c r="H61" s="8" t="s">
        <v>338</v>
      </c>
      <c r="I61" s="4" t="s">
        <v>339</v>
      </c>
      <c r="J61" s="4"/>
      <c r="K61" s="4"/>
      <c r="L61" s="4"/>
      <c r="M61" s="4"/>
      <c r="N61" s="7" t="s">
        <v>340</v>
      </c>
      <c r="O61" s="4" t="s">
        <v>202</v>
      </c>
      <c r="P61" s="7" t="s">
        <v>181</v>
      </c>
      <c r="Q61" s="5" t="s">
        <v>341</v>
      </c>
      <c r="R61" s="4" t="s">
        <v>342</v>
      </c>
      <c r="S61" s="7" t="s">
        <v>343</v>
      </c>
      <c r="T61" s="4" t="s">
        <v>344</v>
      </c>
      <c r="U61" s="5" t="s">
        <v>186</v>
      </c>
      <c r="V61" s="4" t="s">
        <v>187</v>
      </c>
      <c r="W61" s="4" t="s">
        <v>188</v>
      </c>
      <c r="X61" s="4"/>
      <c r="Y61" s="4"/>
      <c r="Z61" s="4"/>
      <c r="AA61" s="4"/>
      <c r="AB61" s="4"/>
    </row>
    <row r="62" spans="1:28" ht="43.5" x14ac:dyDescent="0.35">
      <c r="A62" s="3" t="s">
        <v>39</v>
      </c>
      <c r="B62" s="3" t="s">
        <v>177</v>
      </c>
      <c r="C62" s="33" t="s">
        <v>337</v>
      </c>
      <c r="D62" s="4" t="s">
        <v>65</v>
      </c>
      <c r="E62" s="4" t="s">
        <v>114</v>
      </c>
      <c r="F62" s="4" t="s">
        <v>85</v>
      </c>
      <c r="G62" s="4" t="s">
        <v>112</v>
      </c>
      <c r="H62" s="8" t="s">
        <v>345</v>
      </c>
      <c r="I62" s="4" t="s">
        <v>339</v>
      </c>
      <c r="J62" s="4"/>
      <c r="K62" s="4"/>
      <c r="L62" s="4"/>
      <c r="M62" s="4"/>
      <c r="N62" s="7" t="s">
        <v>340</v>
      </c>
      <c r="O62" s="4" t="s">
        <v>202</v>
      </c>
      <c r="P62" s="7" t="s">
        <v>181</v>
      </c>
      <c r="Q62" s="5" t="s">
        <v>341</v>
      </c>
      <c r="R62" s="4" t="s">
        <v>342</v>
      </c>
      <c r="S62" s="7" t="s">
        <v>343</v>
      </c>
      <c r="T62" s="4" t="s">
        <v>344</v>
      </c>
      <c r="U62" s="5" t="s">
        <v>186</v>
      </c>
      <c r="V62" s="4" t="s">
        <v>187</v>
      </c>
      <c r="W62" s="4" t="s">
        <v>188</v>
      </c>
      <c r="X62" s="4"/>
      <c r="Y62" s="4"/>
      <c r="Z62" s="4"/>
      <c r="AA62" s="4"/>
      <c r="AB62" s="4"/>
    </row>
    <row r="63" spans="1:28" ht="43.5" x14ac:dyDescent="0.35">
      <c r="A63" s="3" t="s">
        <v>39</v>
      </c>
      <c r="B63" s="3" t="s">
        <v>177</v>
      </c>
      <c r="C63" s="33" t="s">
        <v>337</v>
      </c>
      <c r="D63" s="4" t="s">
        <v>65</v>
      </c>
      <c r="E63" s="4" t="s">
        <v>114</v>
      </c>
      <c r="F63" s="4" t="s">
        <v>85</v>
      </c>
      <c r="G63" s="4" t="s">
        <v>116</v>
      </c>
      <c r="H63" s="8" t="s">
        <v>346</v>
      </c>
      <c r="I63" s="4" t="s">
        <v>339</v>
      </c>
      <c r="J63" s="4"/>
      <c r="K63" s="4"/>
      <c r="L63" s="4"/>
      <c r="M63" s="4"/>
      <c r="N63" s="7" t="s">
        <v>340</v>
      </c>
      <c r="O63" s="4" t="s">
        <v>202</v>
      </c>
      <c r="P63" s="7" t="s">
        <v>181</v>
      </c>
      <c r="Q63" s="5" t="s">
        <v>341</v>
      </c>
      <c r="R63" s="4" t="s">
        <v>342</v>
      </c>
      <c r="S63" s="7" t="s">
        <v>343</v>
      </c>
      <c r="T63" s="4" t="s">
        <v>344</v>
      </c>
      <c r="U63" s="5" t="s">
        <v>186</v>
      </c>
      <c r="V63" s="4" t="s">
        <v>187</v>
      </c>
      <c r="W63" s="4" t="s">
        <v>188</v>
      </c>
      <c r="X63" s="4"/>
      <c r="Y63" s="4"/>
      <c r="Z63" s="4"/>
      <c r="AA63" s="4"/>
      <c r="AB63" s="4"/>
    </row>
    <row r="64" spans="1:28" ht="43.5" x14ac:dyDescent="0.35">
      <c r="A64" s="3" t="s">
        <v>39</v>
      </c>
      <c r="B64" s="3" t="s">
        <v>177</v>
      </c>
      <c r="C64" s="33" t="s">
        <v>337</v>
      </c>
      <c r="D64" s="4" t="s">
        <v>65</v>
      </c>
      <c r="E64" s="4" t="s">
        <v>149</v>
      </c>
      <c r="F64" s="4" t="s">
        <v>85</v>
      </c>
      <c r="G64" s="4" t="s">
        <v>148</v>
      </c>
      <c r="H64" s="8" t="s">
        <v>347</v>
      </c>
      <c r="I64" s="4" t="s">
        <v>339</v>
      </c>
      <c r="J64" s="4"/>
      <c r="K64" s="4"/>
      <c r="L64" s="4"/>
      <c r="M64" s="4"/>
      <c r="N64" s="7" t="s">
        <v>340</v>
      </c>
      <c r="O64" s="4" t="s">
        <v>202</v>
      </c>
      <c r="P64" s="7" t="s">
        <v>181</v>
      </c>
      <c r="Q64" s="5" t="s">
        <v>341</v>
      </c>
      <c r="R64" s="4" t="s">
        <v>342</v>
      </c>
      <c r="S64" s="7" t="s">
        <v>343</v>
      </c>
      <c r="T64" s="4" t="s">
        <v>344</v>
      </c>
      <c r="U64" s="5" t="s">
        <v>186</v>
      </c>
      <c r="V64" s="4" t="s">
        <v>187</v>
      </c>
      <c r="W64" s="4" t="s">
        <v>188</v>
      </c>
      <c r="X64" s="4"/>
      <c r="Y64" s="4"/>
      <c r="Z64" s="4"/>
      <c r="AA64" s="4"/>
      <c r="AB64" s="4"/>
    </row>
    <row r="65" spans="1:28" ht="87" x14ac:dyDescent="0.35">
      <c r="A65" s="3" t="s">
        <v>39</v>
      </c>
      <c r="B65" s="3" t="s">
        <v>177</v>
      </c>
      <c r="C65" s="33" t="s">
        <v>348</v>
      </c>
      <c r="D65" s="4" t="s">
        <v>65</v>
      </c>
      <c r="E65" s="4" t="s">
        <v>120</v>
      </c>
      <c r="F65" s="4" t="s">
        <v>110</v>
      </c>
      <c r="G65" s="4" t="s">
        <v>124</v>
      </c>
      <c r="H65" s="8" t="s">
        <v>123</v>
      </c>
      <c r="I65" s="4" t="s">
        <v>349</v>
      </c>
      <c r="J65" s="4"/>
      <c r="K65" s="4"/>
      <c r="L65" s="4"/>
      <c r="M65" s="4"/>
      <c r="N65" s="7" t="s">
        <v>350</v>
      </c>
      <c r="O65" s="4" t="s">
        <v>190</v>
      </c>
      <c r="P65" s="7" t="s">
        <v>247</v>
      </c>
      <c r="Q65" s="5" t="s">
        <v>351</v>
      </c>
      <c r="R65" s="4" t="s">
        <v>352</v>
      </c>
      <c r="S65" s="7" t="s">
        <v>353</v>
      </c>
      <c r="T65" s="4" t="s">
        <v>354</v>
      </c>
      <c r="U65" s="5" t="s">
        <v>186</v>
      </c>
      <c r="V65" s="4" t="s">
        <v>187</v>
      </c>
      <c r="W65" s="4" t="s">
        <v>188</v>
      </c>
      <c r="X65" s="4"/>
      <c r="Y65" s="4"/>
      <c r="Z65" s="4"/>
      <c r="AA65" s="4"/>
      <c r="AB65" s="4"/>
    </row>
    <row r="66" spans="1:28" ht="159.5" x14ac:dyDescent="0.35">
      <c r="A66" s="97" t="s">
        <v>176</v>
      </c>
      <c r="B66" s="3" t="s">
        <v>177</v>
      </c>
      <c r="C66" s="33" t="s">
        <v>348</v>
      </c>
      <c r="D66" s="4" t="s">
        <v>65</v>
      </c>
      <c r="E66" s="4" t="s">
        <v>120</v>
      </c>
      <c r="F66" s="4" t="s">
        <v>110</v>
      </c>
      <c r="G66" s="4" t="s">
        <v>124</v>
      </c>
      <c r="H66" s="8" t="s">
        <v>123</v>
      </c>
      <c r="I66" s="4"/>
      <c r="J66" s="4"/>
      <c r="K66" s="4"/>
      <c r="L66" s="4"/>
      <c r="M66" s="4"/>
      <c r="N66" s="7" t="s">
        <v>355</v>
      </c>
      <c r="O66" s="4" t="s">
        <v>202</v>
      </c>
      <c r="P66" s="7" t="s">
        <v>181</v>
      </c>
      <c r="Q66" s="5" t="s">
        <v>356</v>
      </c>
      <c r="R66" s="4" t="s">
        <v>357</v>
      </c>
      <c r="S66" s="7" t="s">
        <v>358</v>
      </c>
      <c r="T66" s="4" t="s">
        <v>359</v>
      </c>
      <c r="U66" s="5" t="s">
        <v>186</v>
      </c>
      <c r="V66" s="4" t="s">
        <v>187</v>
      </c>
      <c r="W66" s="4" t="s">
        <v>188</v>
      </c>
      <c r="X66" s="4"/>
      <c r="Y66" s="4"/>
      <c r="Z66" s="4"/>
      <c r="AA66" s="4"/>
      <c r="AB66" s="4"/>
    </row>
    <row r="67" spans="1:28" ht="87" x14ac:dyDescent="0.35">
      <c r="A67" s="3" t="s">
        <v>39</v>
      </c>
      <c r="B67" s="3" t="s">
        <v>177</v>
      </c>
      <c r="C67" s="33" t="s">
        <v>360</v>
      </c>
      <c r="D67" s="4" t="s">
        <v>65</v>
      </c>
      <c r="E67" s="4" t="s">
        <v>120</v>
      </c>
      <c r="F67" s="4" t="s">
        <v>110</v>
      </c>
      <c r="G67" s="4" t="s">
        <v>137</v>
      </c>
      <c r="H67" s="8" t="s">
        <v>136</v>
      </c>
      <c r="I67" s="4">
        <v>1</v>
      </c>
      <c r="J67" s="4" t="s">
        <v>110</v>
      </c>
      <c r="K67" s="4"/>
      <c r="L67" s="4"/>
      <c r="M67" s="4"/>
      <c r="N67" s="7" t="s">
        <v>361</v>
      </c>
      <c r="O67" s="4" t="s">
        <v>190</v>
      </c>
      <c r="P67" s="7" t="s">
        <v>247</v>
      </c>
      <c r="Q67" s="5" t="s">
        <v>362</v>
      </c>
      <c r="R67" s="4" t="s">
        <v>363</v>
      </c>
      <c r="S67" s="7" t="s">
        <v>364</v>
      </c>
      <c r="T67" s="4" t="s">
        <v>365</v>
      </c>
      <c r="U67" s="5" t="s">
        <v>186</v>
      </c>
      <c r="V67" s="4" t="s">
        <v>187</v>
      </c>
      <c r="W67" s="4" t="s">
        <v>188</v>
      </c>
      <c r="X67" s="4"/>
      <c r="Y67" s="4"/>
      <c r="Z67" s="4"/>
      <c r="AA67" s="4"/>
      <c r="AB67" s="4"/>
    </row>
    <row r="68" spans="1:28" ht="159.5" x14ac:dyDescent="0.35">
      <c r="A68" s="97" t="s">
        <v>176</v>
      </c>
      <c r="B68" s="3" t="s">
        <v>177</v>
      </c>
      <c r="C68" s="33" t="s">
        <v>360</v>
      </c>
      <c r="D68" s="4" t="s">
        <v>65</v>
      </c>
      <c r="E68" s="4" t="s">
        <v>120</v>
      </c>
      <c r="F68" s="4" t="s">
        <v>110</v>
      </c>
      <c r="G68" s="4" t="s">
        <v>137</v>
      </c>
      <c r="H68" s="8" t="s">
        <v>136</v>
      </c>
      <c r="I68" s="4"/>
      <c r="J68" s="4"/>
      <c r="K68" s="4"/>
      <c r="L68" s="4"/>
      <c r="M68" s="4"/>
      <c r="N68" s="7" t="s">
        <v>366</v>
      </c>
      <c r="O68" s="4" t="s">
        <v>202</v>
      </c>
      <c r="P68" s="7" t="s">
        <v>247</v>
      </c>
      <c r="Q68" s="5" t="s">
        <v>362</v>
      </c>
      <c r="R68" s="4" t="s">
        <v>367</v>
      </c>
      <c r="S68" s="7" t="s">
        <v>368</v>
      </c>
      <c r="T68" s="4" t="s">
        <v>369</v>
      </c>
      <c r="U68" s="5" t="s">
        <v>186</v>
      </c>
      <c r="V68" s="4" t="s">
        <v>187</v>
      </c>
      <c r="W68" s="4" t="s">
        <v>188</v>
      </c>
      <c r="X68" s="4"/>
      <c r="Y68" s="4"/>
      <c r="Z68" s="4"/>
      <c r="AA68" s="4"/>
      <c r="AB68" s="4"/>
    </row>
    <row r="69" spans="1:28" ht="145" x14ac:dyDescent="0.35">
      <c r="A69" s="97" t="s">
        <v>370</v>
      </c>
      <c r="B69" s="3" t="s">
        <v>177</v>
      </c>
      <c r="C69" s="33" t="s">
        <v>73</v>
      </c>
      <c r="D69" s="4" t="s">
        <v>65</v>
      </c>
      <c r="E69" s="4" t="s">
        <v>75</v>
      </c>
      <c r="F69" s="4" t="s">
        <v>74</v>
      </c>
      <c r="G69" s="4" t="s">
        <v>72</v>
      </c>
      <c r="H69" s="8" t="s">
        <v>71</v>
      </c>
      <c r="I69" s="4"/>
      <c r="J69" s="4"/>
      <c r="K69" s="4"/>
      <c r="L69" s="4"/>
      <c r="M69" s="4"/>
      <c r="N69" s="7"/>
      <c r="O69" s="4" t="s">
        <v>180</v>
      </c>
      <c r="P69" s="7" t="s">
        <v>208</v>
      </c>
      <c r="Q69" s="5"/>
      <c r="R69" s="4"/>
      <c r="S69" s="7"/>
      <c r="T69" s="4"/>
      <c r="U69" s="5" t="s">
        <v>186</v>
      </c>
      <c r="V69" s="4" t="s">
        <v>187</v>
      </c>
      <c r="W69" s="4" t="s">
        <v>188</v>
      </c>
      <c r="X69" s="4"/>
      <c r="Y69" s="4"/>
      <c r="Z69" s="4"/>
      <c r="AA69" s="4"/>
      <c r="AB69" s="4"/>
    </row>
    <row r="70" spans="1:28" ht="145" x14ac:dyDescent="0.35">
      <c r="A70" s="9" t="s">
        <v>370</v>
      </c>
      <c r="B70" s="3" t="s">
        <v>177</v>
      </c>
      <c r="C70" s="33" t="s">
        <v>73</v>
      </c>
      <c r="D70" s="4" t="s">
        <v>65</v>
      </c>
      <c r="E70" s="4" t="s">
        <v>120</v>
      </c>
      <c r="F70" s="4" t="s">
        <v>110</v>
      </c>
      <c r="G70" s="4" t="s">
        <v>127</v>
      </c>
      <c r="H70" s="8" t="s">
        <v>126</v>
      </c>
      <c r="I70" s="4"/>
      <c r="J70" s="4"/>
      <c r="K70" s="4"/>
      <c r="L70" s="4"/>
      <c r="M70" s="4"/>
      <c r="N70" s="7"/>
      <c r="O70" s="5" t="s">
        <v>180</v>
      </c>
      <c r="P70" s="7" t="s">
        <v>208</v>
      </c>
      <c r="Q70" s="5"/>
      <c r="R70" s="4"/>
      <c r="S70" s="7"/>
      <c r="T70" s="4"/>
      <c r="U70" s="5" t="s">
        <v>186</v>
      </c>
      <c r="V70" s="4" t="s">
        <v>187</v>
      </c>
      <c r="W70" s="4" t="s">
        <v>188</v>
      </c>
      <c r="X70" s="4"/>
      <c r="Y70" s="4"/>
      <c r="Z70" s="4"/>
      <c r="AA70" s="4"/>
      <c r="AB70" s="4"/>
    </row>
    <row r="71" spans="1:28" ht="145" x14ac:dyDescent="0.35">
      <c r="A71" s="87" t="s">
        <v>370</v>
      </c>
      <c r="B71" s="3" t="s">
        <v>177</v>
      </c>
      <c r="C71" s="33" t="s">
        <v>73</v>
      </c>
      <c r="D71" s="4" t="s">
        <v>65</v>
      </c>
      <c r="E71" s="4" t="s">
        <v>81</v>
      </c>
      <c r="F71" s="4" t="s">
        <v>63</v>
      </c>
      <c r="G71" s="4" t="s">
        <v>80</v>
      </c>
      <c r="H71" s="8" t="s">
        <v>79</v>
      </c>
      <c r="I71" s="4"/>
      <c r="J71" s="4"/>
      <c r="K71" s="4"/>
      <c r="L71" s="4"/>
      <c r="M71" s="4"/>
      <c r="N71" s="7"/>
      <c r="O71" s="5" t="s">
        <v>180</v>
      </c>
      <c r="P71" s="7" t="s">
        <v>208</v>
      </c>
      <c r="Q71" s="5"/>
      <c r="R71" s="4"/>
      <c r="S71" s="7"/>
      <c r="T71" s="4"/>
      <c r="U71" s="5" t="s">
        <v>186</v>
      </c>
      <c r="V71" s="4" t="s">
        <v>187</v>
      </c>
      <c r="W71" s="4" t="s">
        <v>188</v>
      </c>
      <c r="X71" s="4"/>
      <c r="Y71" s="4"/>
      <c r="Z71" s="4"/>
      <c r="AA71" s="4"/>
      <c r="AB71" s="4"/>
    </row>
    <row r="72" spans="1:28" ht="29" x14ac:dyDescent="0.35">
      <c r="A72" s="9" t="s">
        <v>39</v>
      </c>
      <c r="B72" s="3" t="s">
        <v>177</v>
      </c>
      <c r="C72" s="33" t="s">
        <v>113</v>
      </c>
      <c r="D72" s="4" t="s">
        <v>65</v>
      </c>
      <c r="E72" s="4" t="s">
        <v>149</v>
      </c>
      <c r="F72" s="4" t="s">
        <v>85</v>
      </c>
      <c r="G72" s="4" t="s">
        <v>148</v>
      </c>
      <c r="H72" s="8" t="s">
        <v>347</v>
      </c>
      <c r="I72" s="4"/>
      <c r="J72" s="4"/>
      <c r="K72" s="4"/>
      <c r="L72" s="4"/>
      <c r="M72" s="4"/>
      <c r="N72" s="7" t="s">
        <v>371</v>
      </c>
      <c r="O72" s="5" t="s">
        <v>202</v>
      </c>
      <c r="P72" s="7" t="s">
        <v>247</v>
      </c>
      <c r="Q72" s="5"/>
      <c r="R72" s="4"/>
      <c r="S72" s="7"/>
      <c r="T72" s="4" t="s">
        <v>372</v>
      </c>
      <c r="U72" s="5" t="s">
        <v>186</v>
      </c>
      <c r="V72" s="4" t="s">
        <v>373</v>
      </c>
      <c r="W72" s="4" t="s">
        <v>188</v>
      </c>
      <c r="X72" s="4"/>
      <c r="Y72" s="4"/>
      <c r="Z72" s="4"/>
      <c r="AA72" s="4"/>
      <c r="AB72" s="4"/>
    </row>
    <row r="73" spans="1:28" ht="29" x14ac:dyDescent="0.35">
      <c r="A73" s="87" t="s">
        <v>39</v>
      </c>
      <c r="B73" s="3" t="s">
        <v>177</v>
      </c>
      <c r="C73" s="33" t="s">
        <v>146</v>
      </c>
      <c r="D73" s="4" t="s">
        <v>65</v>
      </c>
      <c r="E73" s="4" t="s">
        <v>120</v>
      </c>
      <c r="F73" s="4" t="s">
        <v>110</v>
      </c>
      <c r="G73" s="4" t="s">
        <v>145</v>
      </c>
      <c r="H73" s="8" t="s">
        <v>374</v>
      </c>
      <c r="I73" s="4"/>
      <c r="J73" s="4"/>
      <c r="K73" s="4"/>
      <c r="L73" s="4"/>
      <c r="M73" s="4"/>
      <c r="N73" s="7" t="s">
        <v>375</v>
      </c>
      <c r="O73" s="5" t="s">
        <v>190</v>
      </c>
      <c r="P73" s="7" t="s">
        <v>247</v>
      </c>
      <c r="Q73" s="5"/>
      <c r="R73" s="4"/>
      <c r="S73" s="7"/>
      <c r="T73" s="4" t="s">
        <v>376</v>
      </c>
      <c r="U73" s="5" t="s">
        <v>186</v>
      </c>
      <c r="V73" s="4" t="s">
        <v>373</v>
      </c>
      <c r="W73" s="4" t="s">
        <v>188</v>
      </c>
      <c r="X73" s="4"/>
      <c r="Y73" s="4"/>
      <c r="Z73" s="4"/>
      <c r="AA73" s="4"/>
      <c r="AB73" s="4"/>
    </row>
    <row r="74" spans="1:28" ht="29" x14ac:dyDescent="0.35">
      <c r="A74" s="9" t="s">
        <v>39</v>
      </c>
      <c r="B74" s="3" t="s">
        <v>177</v>
      </c>
      <c r="C74" s="33" t="s">
        <v>143</v>
      </c>
      <c r="D74" s="4" t="s">
        <v>65</v>
      </c>
      <c r="E74" s="4" t="s">
        <v>120</v>
      </c>
      <c r="F74" s="4" t="s">
        <v>110</v>
      </c>
      <c r="G74" s="4" t="s">
        <v>142</v>
      </c>
      <c r="H74" s="8" t="s">
        <v>377</v>
      </c>
      <c r="I74" s="4"/>
      <c r="J74" s="4"/>
      <c r="K74" s="4"/>
      <c r="L74" s="4"/>
      <c r="M74" s="4"/>
      <c r="N74" s="7" t="s">
        <v>378</v>
      </c>
      <c r="O74" s="5" t="s">
        <v>190</v>
      </c>
      <c r="P74" s="7" t="s">
        <v>247</v>
      </c>
      <c r="Q74" s="5"/>
      <c r="R74" s="4"/>
      <c r="S74" s="7"/>
      <c r="T74" s="4" t="s">
        <v>379</v>
      </c>
      <c r="U74" s="5" t="s">
        <v>186</v>
      </c>
      <c r="V74" s="4" t="s">
        <v>373</v>
      </c>
      <c r="W74" s="4" t="s">
        <v>188</v>
      </c>
      <c r="X74" s="4"/>
      <c r="Y74" s="4"/>
      <c r="Z74" s="4"/>
      <c r="AA74" s="4"/>
      <c r="AB74" s="4"/>
    </row>
    <row r="75" spans="1:28" ht="29" x14ac:dyDescent="0.35">
      <c r="A75" s="9" t="s">
        <v>39</v>
      </c>
      <c r="B75" s="3" t="s">
        <v>177</v>
      </c>
      <c r="C75" s="33" t="s">
        <v>146</v>
      </c>
      <c r="D75" s="4" t="s">
        <v>65</v>
      </c>
      <c r="E75" s="4" t="s">
        <v>120</v>
      </c>
      <c r="F75" s="4" t="s">
        <v>110</v>
      </c>
      <c r="G75" s="4" t="s">
        <v>142</v>
      </c>
      <c r="H75" s="8" t="s">
        <v>377</v>
      </c>
      <c r="I75" s="4"/>
      <c r="J75" s="4"/>
      <c r="K75" s="4"/>
      <c r="L75" s="4"/>
      <c r="M75" s="4"/>
      <c r="N75" s="7" t="s">
        <v>380</v>
      </c>
      <c r="O75" s="5" t="s">
        <v>190</v>
      </c>
      <c r="P75" s="7" t="s">
        <v>247</v>
      </c>
      <c r="Q75" s="5"/>
      <c r="R75" s="4"/>
      <c r="S75" s="7"/>
      <c r="T75" s="4" t="s">
        <v>381</v>
      </c>
      <c r="U75" s="5" t="s">
        <v>186</v>
      </c>
      <c r="V75" s="4" t="s">
        <v>373</v>
      </c>
      <c r="W75" s="4" t="s">
        <v>188</v>
      </c>
      <c r="X75" s="4"/>
      <c r="Y75" s="4"/>
      <c r="Z75" s="4"/>
      <c r="AA75" s="4"/>
      <c r="AB75" s="4"/>
    </row>
    <row r="76" spans="1:28" x14ac:dyDescent="0.35">
      <c r="A76" s="9" t="s">
        <v>39</v>
      </c>
      <c r="B76" s="3" t="s">
        <v>177</v>
      </c>
      <c r="C76" s="33" t="s">
        <v>146</v>
      </c>
      <c r="D76" s="4" t="s">
        <v>65</v>
      </c>
      <c r="E76" s="4" t="s">
        <v>120</v>
      </c>
      <c r="F76" s="4" t="s">
        <v>110</v>
      </c>
      <c r="G76" s="4" t="s">
        <v>142</v>
      </c>
      <c r="H76" s="8" t="s">
        <v>377</v>
      </c>
      <c r="I76" s="4"/>
      <c r="J76" s="4"/>
      <c r="K76" s="4"/>
      <c r="L76" s="4"/>
      <c r="M76" s="4"/>
      <c r="N76" s="7" t="s">
        <v>382</v>
      </c>
      <c r="O76" s="5" t="s">
        <v>190</v>
      </c>
      <c r="P76" s="7" t="s">
        <v>247</v>
      </c>
      <c r="Q76" s="5"/>
      <c r="R76" s="4"/>
      <c r="S76" s="7"/>
      <c r="T76" s="4" t="s">
        <v>383</v>
      </c>
      <c r="U76" s="5" t="s">
        <v>186</v>
      </c>
      <c r="V76" s="4" t="s">
        <v>373</v>
      </c>
      <c r="W76" s="4" t="s">
        <v>188</v>
      </c>
      <c r="X76" s="4"/>
      <c r="Y76" s="4"/>
      <c r="Z76" s="4"/>
      <c r="AA76" s="4"/>
      <c r="AB76" s="4"/>
    </row>
    <row r="77" spans="1:28" ht="43.5" x14ac:dyDescent="0.35">
      <c r="A77" s="9" t="s">
        <v>39</v>
      </c>
      <c r="B77" s="3" t="s">
        <v>177</v>
      </c>
      <c r="C77" s="33" t="s">
        <v>78</v>
      </c>
      <c r="D77" s="4" t="s">
        <v>65</v>
      </c>
      <c r="E77" s="4" t="s">
        <v>120</v>
      </c>
      <c r="F77" s="4" t="s">
        <v>110</v>
      </c>
      <c r="G77" s="4" t="s">
        <v>140</v>
      </c>
      <c r="H77" s="8" t="s">
        <v>384</v>
      </c>
      <c r="I77" s="4"/>
      <c r="J77" s="4"/>
      <c r="K77" s="4"/>
      <c r="L77" s="4"/>
      <c r="M77" s="4"/>
      <c r="N77" s="7" t="s">
        <v>385</v>
      </c>
      <c r="O77" s="5" t="s">
        <v>190</v>
      </c>
      <c r="P77" s="7" t="s">
        <v>247</v>
      </c>
      <c r="Q77" s="5"/>
      <c r="R77" s="4"/>
      <c r="S77" s="7"/>
      <c r="T77" s="4" t="s">
        <v>386</v>
      </c>
      <c r="U77" s="5" t="s">
        <v>186</v>
      </c>
      <c r="V77" s="4" t="s">
        <v>373</v>
      </c>
      <c r="W77" s="4" t="s">
        <v>188</v>
      </c>
      <c r="X77" s="4"/>
      <c r="Y77" s="4"/>
      <c r="Z77" s="4"/>
      <c r="AA77" s="4"/>
      <c r="AB77" s="4"/>
    </row>
    <row r="78" spans="1:28" ht="29" x14ac:dyDescent="0.35">
      <c r="A78" s="9" t="s">
        <v>39</v>
      </c>
      <c r="B78" s="3" t="s">
        <v>177</v>
      </c>
      <c r="C78" s="33" t="s">
        <v>78</v>
      </c>
      <c r="D78" s="4" t="s">
        <v>65</v>
      </c>
      <c r="E78" s="4" t="s">
        <v>120</v>
      </c>
      <c r="F78" s="4" t="s">
        <v>110</v>
      </c>
      <c r="G78" s="4" t="s">
        <v>140</v>
      </c>
      <c r="H78" s="8" t="s">
        <v>384</v>
      </c>
      <c r="I78" s="4"/>
      <c r="J78" s="4"/>
      <c r="K78" s="4"/>
      <c r="L78" s="4"/>
      <c r="M78" s="4"/>
      <c r="N78" s="7" t="s">
        <v>387</v>
      </c>
      <c r="O78" s="5" t="s">
        <v>202</v>
      </c>
      <c r="P78" s="7" t="s">
        <v>247</v>
      </c>
      <c r="Q78" s="5"/>
      <c r="R78" s="4"/>
      <c r="S78" s="7"/>
      <c r="T78" s="4" t="s">
        <v>388</v>
      </c>
      <c r="U78" s="5" t="s">
        <v>186</v>
      </c>
      <c r="V78" s="4" t="s">
        <v>373</v>
      </c>
      <c r="W78" s="4" t="s">
        <v>188</v>
      </c>
      <c r="X78" s="4"/>
      <c r="Y78" s="4"/>
      <c r="Z78" s="4"/>
      <c r="AA78" s="4"/>
      <c r="AB78" s="4"/>
    </row>
    <row r="79" spans="1:28" ht="29" x14ac:dyDescent="0.35">
      <c r="A79" s="9" t="s">
        <v>39</v>
      </c>
      <c r="B79" s="3" t="s">
        <v>177</v>
      </c>
      <c r="C79" s="33" t="s">
        <v>138</v>
      </c>
      <c r="D79" s="4" t="s">
        <v>65</v>
      </c>
      <c r="E79" s="4" t="s">
        <v>120</v>
      </c>
      <c r="F79" s="4" t="s">
        <v>69</v>
      </c>
      <c r="G79" s="4" t="s">
        <v>137</v>
      </c>
      <c r="H79" s="8" t="s">
        <v>389</v>
      </c>
      <c r="I79" s="4"/>
      <c r="J79" s="4"/>
      <c r="K79" s="4"/>
      <c r="L79" s="4"/>
      <c r="M79" s="4"/>
      <c r="N79" s="7" t="s">
        <v>390</v>
      </c>
      <c r="O79" s="5" t="s">
        <v>202</v>
      </c>
      <c r="P79" s="7" t="s">
        <v>247</v>
      </c>
      <c r="Q79" s="5"/>
      <c r="R79" s="4"/>
      <c r="S79" s="7"/>
      <c r="T79" s="4" t="s">
        <v>391</v>
      </c>
      <c r="U79" s="5" t="s">
        <v>186</v>
      </c>
      <c r="V79" s="4" t="s">
        <v>373</v>
      </c>
      <c r="W79" s="4" t="s">
        <v>188</v>
      </c>
      <c r="X79" s="4"/>
      <c r="Y79" s="4"/>
      <c r="Z79" s="4"/>
      <c r="AA79" s="4"/>
      <c r="AB79" s="4"/>
    </row>
    <row r="80" spans="1:28" ht="29" x14ac:dyDescent="0.35">
      <c r="A80" s="9" t="s">
        <v>39</v>
      </c>
      <c r="B80" s="3" t="s">
        <v>177</v>
      </c>
      <c r="C80" s="33" t="s">
        <v>113</v>
      </c>
      <c r="D80" s="4" t="s">
        <v>65</v>
      </c>
      <c r="E80" s="4" t="s">
        <v>120</v>
      </c>
      <c r="F80" s="4" t="s">
        <v>110</v>
      </c>
      <c r="G80" s="4" t="s">
        <v>135</v>
      </c>
      <c r="H80" s="8" t="s">
        <v>338</v>
      </c>
      <c r="I80" s="4"/>
      <c r="J80" s="4"/>
      <c r="K80" s="4"/>
      <c r="L80" s="4"/>
      <c r="M80" s="4"/>
      <c r="N80" s="7" t="s">
        <v>371</v>
      </c>
      <c r="O80" s="5" t="s">
        <v>202</v>
      </c>
      <c r="P80" s="7" t="s">
        <v>247</v>
      </c>
      <c r="Q80" s="5"/>
      <c r="R80" s="4"/>
      <c r="S80" s="7"/>
      <c r="T80" s="4" t="s">
        <v>372</v>
      </c>
      <c r="U80" s="5" t="s">
        <v>186</v>
      </c>
      <c r="V80" s="4" t="s">
        <v>373</v>
      </c>
      <c r="W80" s="4" t="s">
        <v>188</v>
      </c>
      <c r="X80" s="4"/>
      <c r="Y80" s="4"/>
      <c r="Z80" s="4"/>
      <c r="AA80" s="4"/>
      <c r="AB80" s="4"/>
    </row>
    <row r="81" spans="1:28" ht="43.5" x14ac:dyDescent="0.35">
      <c r="A81" s="9" t="s">
        <v>39</v>
      </c>
      <c r="B81" s="3" t="s">
        <v>177</v>
      </c>
      <c r="C81" s="33" t="s">
        <v>125</v>
      </c>
      <c r="D81" s="4" t="s">
        <v>65</v>
      </c>
      <c r="E81" s="4" t="s">
        <v>120</v>
      </c>
      <c r="F81" s="4" t="s">
        <v>110</v>
      </c>
      <c r="G81" s="4" t="s">
        <v>124</v>
      </c>
      <c r="H81" s="8" t="s">
        <v>392</v>
      </c>
      <c r="I81" s="4"/>
      <c r="J81" s="4"/>
      <c r="K81" s="4"/>
      <c r="L81" s="4"/>
      <c r="M81" s="4"/>
      <c r="N81" s="7" t="s">
        <v>393</v>
      </c>
      <c r="O81" s="5" t="s">
        <v>202</v>
      </c>
      <c r="P81" s="7" t="s">
        <v>247</v>
      </c>
      <c r="Q81" s="5"/>
      <c r="R81" s="4"/>
      <c r="S81" s="7"/>
      <c r="T81" s="4" t="s">
        <v>394</v>
      </c>
      <c r="U81" s="5" t="s">
        <v>186</v>
      </c>
      <c r="V81" s="4" t="s">
        <v>373</v>
      </c>
      <c r="W81" s="4" t="s">
        <v>188</v>
      </c>
      <c r="X81" s="4"/>
      <c r="Y81" s="4"/>
      <c r="Z81" s="4"/>
      <c r="AA81" s="4"/>
      <c r="AB81" s="4"/>
    </row>
    <row r="82" spans="1:28" ht="29" x14ac:dyDescent="0.35">
      <c r="A82" s="9" t="s">
        <v>39</v>
      </c>
      <c r="B82" s="3" t="s">
        <v>177</v>
      </c>
      <c r="C82" s="33" t="s">
        <v>113</v>
      </c>
      <c r="D82" s="4" t="s">
        <v>65</v>
      </c>
      <c r="E82" s="4" t="s">
        <v>114</v>
      </c>
      <c r="F82" s="4" t="s">
        <v>85</v>
      </c>
      <c r="G82" s="4" t="s">
        <v>112</v>
      </c>
      <c r="H82" s="8" t="s">
        <v>345</v>
      </c>
      <c r="I82" s="4"/>
      <c r="J82" s="4"/>
      <c r="K82" s="4"/>
      <c r="L82" s="4"/>
      <c r="M82" s="4"/>
      <c r="N82" s="7" t="s">
        <v>371</v>
      </c>
      <c r="O82" s="5" t="s">
        <v>202</v>
      </c>
      <c r="P82" s="7" t="s">
        <v>247</v>
      </c>
      <c r="Q82" s="5"/>
      <c r="R82" s="4"/>
      <c r="S82" s="7"/>
      <c r="T82" s="4" t="s">
        <v>372</v>
      </c>
      <c r="U82" s="5" t="s">
        <v>186</v>
      </c>
      <c r="V82" s="4" t="s">
        <v>373</v>
      </c>
      <c r="W82" s="4" t="s">
        <v>188</v>
      </c>
      <c r="X82" s="4"/>
      <c r="Y82" s="4"/>
      <c r="Z82" s="4"/>
      <c r="AA82" s="4"/>
      <c r="AB82" s="4"/>
    </row>
    <row r="83" spans="1:28" ht="43.5" x14ac:dyDescent="0.35">
      <c r="A83" s="9" t="s">
        <v>39</v>
      </c>
      <c r="B83" s="3" t="s">
        <v>177</v>
      </c>
      <c r="C83" s="33" t="s">
        <v>78</v>
      </c>
      <c r="D83" s="4" t="s">
        <v>65</v>
      </c>
      <c r="E83" s="4" t="s">
        <v>81</v>
      </c>
      <c r="F83" s="4" t="s">
        <v>63</v>
      </c>
      <c r="G83" s="4" t="s">
        <v>103</v>
      </c>
      <c r="H83" s="8" t="s">
        <v>395</v>
      </c>
      <c r="I83" s="4"/>
      <c r="J83" s="4"/>
      <c r="K83" s="4"/>
      <c r="L83" s="4"/>
      <c r="M83" s="4"/>
      <c r="N83" s="7" t="s">
        <v>385</v>
      </c>
      <c r="O83" s="5" t="s">
        <v>190</v>
      </c>
      <c r="P83" s="7" t="s">
        <v>247</v>
      </c>
      <c r="Q83" s="5"/>
      <c r="R83" s="4"/>
      <c r="S83" s="7"/>
      <c r="T83" s="4" t="s">
        <v>386</v>
      </c>
      <c r="U83" s="5" t="s">
        <v>186</v>
      </c>
      <c r="V83" s="4" t="s">
        <v>373</v>
      </c>
      <c r="W83" s="4" t="s">
        <v>188</v>
      </c>
      <c r="X83" s="4"/>
      <c r="Y83" s="4"/>
      <c r="Z83" s="4"/>
      <c r="AA83" s="4"/>
      <c r="AB83" s="4"/>
    </row>
    <row r="84" spans="1:28" ht="29" x14ac:dyDescent="0.35">
      <c r="A84" s="87" t="s">
        <v>39</v>
      </c>
      <c r="B84" s="3" t="s">
        <v>177</v>
      </c>
      <c r="C84" s="33" t="s">
        <v>78</v>
      </c>
      <c r="D84" s="4" t="s">
        <v>65</v>
      </c>
      <c r="E84" s="4" t="s">
        <v>75</v>
      </c>
      <c r="F84" s="4" t="s">
        <v>74</v>
      </c>
      <c r="G84" s="4" t="s">
        <v>77</v>
      </c>
      <c r="H84" s="8" t="s">
        <v>396</v>
      </c>
      <c r="I84" s="4"/>
      <c r="J84" s="4"/>
      <c r="K84" s="4"/>
      <c r="L84" s="4"/>
      <c r="M84" s="4"/>
      <c r="N84" s="7" t="s">
        <v>387</v>
      </c>
      <c r="O84" s="5" t="s">
        <v>202</v>
      </c>
      <c r="P84" s="7" t="s">
        <v>247</v>
      </c>
      <c r="Q84" s="5"/>
      <c r="R84" s="4"/>
      <c r="S84" s="7"/>
      <c r="T84" s="4" t="s">
        <v>388</v>
      </c>
      <c r="U84" s="5" t="s">
        <v>186</v>
      </c>
      <c r="V84" s="4" t="s">
        <v>373</v>
      </c>
      <c r="W84" s="4" t="s">
        <v>188</v>
      </c>
      <c r="X84" s="4"/>
      <c r="Y84" s="4"/>
      <c r="Z84" s="4"/>
      <c r="AA84" s="4"/>
      <c r="AB84" s="4"/>
    </row>
    <row r="85" spans="1:28" ht="217.5" x14ac:dyDescent="0.35">
      <c r="A85" s="87" t="s">
        <v>39</v>
      </c>
      <c r="B85" s="80" t="s">
        <v>177</v>
      </c>
      <c r="C85" s="33" t="s">
        <v>78</v>
      </c>
      <c r="D85" s="6" t="s">
        <v>65</v>
      </c>
      <c r="E85" s="6" t="s">
        <v>75</v>
      </c>
      <c r="F85" s="6" t="s">
        <v>74</v>
      </c>
      <c r="G85" s="6" t="s">
        <v>77</v>
      </c>
      <c r="H85" s="6" t="s">
        <v>396</v>
      </c>
      <c r="I85" s="6"/>
      <c r="J85" s="6"/>
      <c r="K85" s="5"/>
      <c r="L85" s="5"/>
      <c r="M85" s="5"/>
      <c r="N85" s="6" t="s">
        <v>385</v>
      </c>
      <c r="O85" s="5" t="s">
        <v>190</v>
      </c>
      <c r="P85" s="7" t="s">
        <v>247</v>
      </c>
      <c r="Q85" s="5"/>
      <c r="R85" s="4"/>
      <c r="S85" s="7"/>
      <c r="T85" s="5" t="s">
        <v>386</v>
      </c>
      <c r="U85" s="5" t="s">
        <v>186</v>
      </c>
      <c r="V85" s="6" t="s">
        <v>373</v>
      </c>
      <c r="W85" s="4" t="s">
        <v>188</v>
      </c>
      <c r="X85" s="5"/>
      <c r="Y85" s="5"/>
      <c r="Z85" s="5"/>
      <c r="AA85" s="4"/>
      <c r="AB85" s="4"/>
    </row>
    <row r="86" spans="1:28" ht="29" x14ac:dyDescent="0.35">
      <c r="A86" s="87" t="s">
        <v>39</v>
      </c>
      <c r="B86" s="80" t="s">
        <v>177</v>
      </c>
      <c r="C86" s="33" t="s">
        <v>397</v>
      </c>
      <c r="D86" s="5" t="s">
        <v>65</v>
      </c>
      <c r="E86" s="5" t="s">
        <v>398</v>
      </c>
      <c r="F86" s="5" t="s">
        <v>69</v>
      </c>
      <c r="G86" s="4" t="s">
        <v>65</v>
      </c>
      <c r="H86" s="8" t="s">
        <v>399</v>
      </c>
      <c r="I86" s="4"/>
      <c r="J86" s="4"/>
      <c r="K86" s="4"/>
      <c r="L86" s="4"/>
      <c r="M86" s="4"/>
      <c r="N86" s="6" t="s">
        <v>400</v>
      </c>
      <c r="O86" s="5" t="s">
        <v>190</v>
      </c>
      <c r="P86" s="7" t="s">
        <v>247</v>
      </c>
      <c r="Q86" s="5"/>
      <c r="R86" s="4"/>
      <c r="S86" s="7"/>
      <c r="T86" s="4" t="s">
        <v>401</v>
      </c>
      <c r="U86" s="5" t="s">
        <v>186</v>
      </c>
      <c r="V86" s="4" t="s">
        <v>373</v>
      </c>
      <c r="W86" s="4" t="s">
        <v>188</v>
      </c>
      <c r="X86" s="4"/>
      <c r="Y86" s="4"/>
      <c r="Z86" s="4"/>
      <c r="AA86" s="4"/>
      <c r="AB86" s="4"/>
    </row>
    <row r="87" spans="1:28" ht="217.5" x14ac:dyDescent="0.35">
      <c r="A87" s="98" t="s">
        <v>402</v>
      </c>
      <c r="B87" s="65" t="s">
        <v>403</v>
      </c>
      <c r="C87" s="1" t="s">
        <v>404</v>
      </c>
      <c r="D87" s="1" t="s">
        <v>65</v>
      </c>
      <c r="E87" s="1" t="s">
        <v>405</v>
      </c>
      <c r="F87" s="1" t="s">
        <v>406</v>
      </c>
      <c r="G87" s="1" t="s">
        <v>407</v>
      </c>
      <c r="H87" s="4" t="s">
        <v>408</v>
      </c>
      <c r="N87" t="s">
        <v>409</v>
      </c>
      <c r="O87" t="s">
        <v>202</v>
      </c>
      <c r="S87" s="98" t="s">
        <v>410</v>
      </c>
      <c r="T87" t="s">
        <v>411</v>
      </c>
      <c r="V87" t="s">
        <v>412</v>
      </c>
      <c r="W87" t="s">
        <v>188</v>
      </c>
      <c r="Y87" t="s">
        <v>413</v>
      </c>
    </row>
    <row r="88" spans="1:28" ht="116" x14ac:dyDescent="0.35">
      <c r="A88" s="98" t="s">
        <v>414</v>
      </c>
      <c r="B88" s="65" t="s">
        <v>415</v>
      </c>
      <c r="C88" s="1" t="s">
        <v>416</v>
      </c>
      <c r="G88" s="1" t="s">
        <v>417</v>
      </c>
      <c r="N88" t="s">
        <v>418</v>
      </c>
      <c r="O88" t="s">
        <v>202</v>
      </c>
      <c r="P88" t="s">
        <v>208</v>
      </c>
      <c r="Q88" t="s">
        <v>419</v>
      </c>
      <c r="R88" t="s">
        <v>420</v>
      </c>
      <c r="S88" s="98" t="s">
        <v>421</v>
      </c>
      <c r="T88" t="s">
        <v>422</v>
      </c>
      <c r="U88" t="s">
        <v>423</v>
      </c>
    </row>
    <row r="89" spans="1:28" ht="116" x14ac:dyDescent="0.35">
      <c r="A89" s="98" t="s">
        <v>414</v>
      </c>
      <c r="B89" s="65" t="s">
        <v>415</v>
      </c>
      <c r="C89" s="1" t="s">
        <v>416</v>
      </c>
      <c r="G89" s="1" t="s">
        <v>417</v>
      </c>
      <c r="N89" t="s">
        <v>424</v>
      </c>
      <c r="O89" t="s">
        <v>202</v>
      </c>
      <c r="P89" t="s">
        <v>247</v>
      </c>
      <c r="Q89" t="s">
        <v>425</v>
      </c>
      <c r="R89" t="s">
        <v>426</v>
      </c>
      <c r="S89" s="98" t="s">
        <v>427</v>
      </c>
      <c r="T89" t="s">
        <v>428</v>
      </c>
      <c r="U89" t="s">
        <v>423</v>
      </c>
    </row>
    <row r="90" spans="1:28" ht="116" x14ac:dyDescent="0.35">
      <c r="A90" s="98" t="s">
        <v>414</v>
      </c>
      <c r="B90" s="65" t="s">
        <v>415</v>
      </c>
      <c r="C90" s="1" t="s">
        <v>416</v>
      </c>
      <c r="G90" s="1" t="s">
        <v>417</v>
      </c>
      <c r="N90" t="s">
        <v>429</v>
      </c>
      <c r="O90" t="s">
        <v>202</v>
      </c>
      <c r="P90" t="s">
        <v>208</v>
      </c>
      <c r="Q90" t="s">
        <v>430</v>
      </c>
      <c r="R90" t="s">
        <v>431</v>
      </c>
      <c r="S90" s="98" t="s">
        <v>432</v>
      </c>
      <c r="T90" t="s">
        <v>433</v>
      </c>
      <c r="U90" t="s">
        <v>423</v>
      </c>
    </row>
    <row r="91" spans="1:28" ht="116" x14ac:dyDescent="0.35">
      <c r="A91" s="98" t="s">
        <v>414</v>
      </c>
      <c r="B91" s="65" t="s">
        <v>415</v>
      </c>
      <c r="C91" s="1" t="s">
        <v>416</v>
      </c>
      <c r="G91" s="1" t="s">
        <v>417</v>
      </c>
      <c r="N91" t="s">
        <v>434</v>
      </c>
      <c r="O91" t="s">
        <v>202</v>
      </c>
      <c r="P91" t="s">
        <v>247</v>
      </c>
      <c r="Q91" t="s">
        <v>435</v>
      </c>
      <c r="R91" t="s">
        <v>436</v>
      </c>
      <c r="S91" s="98" t="s">
        <v>437</v>
      </c>
      <c r="T91" t="s">
        <v>438</v>
      </c>
      <c r="U91" t="s">
        <v>423</v>
      </c>
    </row>
    <row r="92" spans="1:28" ht="116" x14ac:dyDescent="0.35">
      <c r="A92" s="98" t="s">
        <v>414</v>
      </c>
      <c r="B92" s="65" t="s">
        <v>415</v>
      </c>
      <c r="C92" s="1" t="s">
        <v>416</v>
      </c>
      <c r="G92" s="1" t="s">
        <v>417</v>
      </c>
      <c r="N92" t="s">
        <v>439</v>
      </c>
      <c r="O92" t="s">
        <v>202</v>
      </c>
      <c r="P92" t="s">
        <v>247</v>
      </c>
      <c r="Q92" t="s">
        <v>440</v>
      </c>
      <c r="R92" t="s">
        <v>441</v>
      </c>
      <c r="S92" s="98" t="s">
        <v>442</v>
      </c>
      <c r="T92" t="s">
        <v>443</v>
      </c>
      <c r="U92" t="s">
        <v>423</v>
      </c>
    </row>
    <row r="93" spans="1:28" ht="116" x14ac:dyDescent="0.35">
      <c r="A93" s="98" t="s">
        <v>414</v>
      </c>
      <c r="B93" s="65" t="s">
        <v>415</v>
      </c>
      <c r="C93" s="1" t="s">
        <v>416</v>
      </c>
      <c r="G93" s="1" t="s">
        <v>417</v>
      </c>
      <c r="N93" t="s">
        <v>444</v>
      </c>
      <c r="O93" t="s">
        <v>202</v>
      </c>
      <c r="P93" t="s">
        <v>247</v>
      </c>
      <c r="Q93" t="s">
        <v>445</v>
      </c>
      <c r="R93" t="s">
        <v>446</v>
      </c>
      <c r="S93" s="98" t="s">
        <v>447</v>
      </c>
      <c r="T93" t="s">
        <v>448</v>
      </c>
      <c r="U93" t="s">
        <v>423</v>
      </c>
    </row>
    <row r="94" spans="1:28" ht="116" x14ac:dyDescent="0.35">
      <c r="A94" s="98" t="s">
        <v>414</v>
      </c>
      <c r="B94" s="65" t="s">
        <v>415</v>
      </c>
      <c r="C94" s="1" t="s">
        <v>416</v>
      </c>
      <c r="G94" s="1" t="s">
        <v>417</v>
      </c>
      <c r="N94" t="s">
        <v>449</v>
      </c>
      <c r="O94" t="s">
        <v>202</v>
      </c>
      <c r="P94" t="s">
        <v>247</v>
      </c>
      <c r="Q94" t="s">
        <v>450</v>
      </c>
      <c r="R94" t="s">
        <v>451</v>
      </c>
      <c r="S94" s="98" t="s">
        <v>447</v>
      </c>
      <c r="T94" t="s">
        <v>452</v>
      </c>
      <c r="U94" t="s">
        <v>423</v>
      </c>
    </row>
    <row r="95" spans="1:28" ht="116" x14ac:dyDescent="0.35">
      <c r="A95" s="98" t="s">
        <v>414</v>
      </c>
      <c r="B95" s="65" t="s">
        <v>415</v>
      </c>
      <c r="C95" s="1" t="s">
        <v>416</v>
      </c>
      <c r="G95" s="1" t="s">
        <v>417</v>
      </c>
      <c r="N95" t="s">
        <v>453</v>
      </c>
      <c r="O95" t="s">
        <v>202</v>
      </c>
      <c r="P95" t="s">
        <v>247</v>
      </c>
      <c r="Q95" t="s">
        <v>454</v>
      </c>
      <c r="R95" t="s">
        <v>455</v>
      </c>
      <c r="S95" s="98" t="s">
        <v>456</v>
      </c>
      <c r="T95" t="s">
        <v>457</v>
      </c>
      <c r="U95" t="s">
        <v>423</v>
      </c>
    </row>
    <row r="96" spans="1:28" ht="116" x14ac:dyDescent="0.35">
      <c r="A96" s="98" t="s">
        <v>414</v>
      </c>
      <c r="B96" s="65" t="s">
        <v>415</v>
      </c>
      <c r="C96" s="1" t="s">
        <v>416</v>
      </c>
      <c r="G96" s="1" t="s">
        <v>417</v>
      </c>
      <c r="N96" t="s">
        <v>458</v>
      </c>
      <c r="O96" t="s">
        <v>202</v>
      </c>
      <c r="P96" t="s">
        <v>196</v>
      </c>
      <c r="Q96" t="s">
        <v>459</v>
      </c>
      <c r="R96" t="s">
        <v>460</v>
      </c>
      <c r="S96" s="98" t="s">
        <v>461</v>
      </c>
      <c r="T96" t="s">
        <v>462</v>
      </c>
      <c r="U96" t="s">
        <v>423</v>
      </c>
    </row>
    <row r="97" spans="1:21" ht="116" x14ac:dyDescent="0.35">
      <c r="A97" s="98" t="s">
        <v>414</v>
      </c>
      <c r="B97" s="65" t="s">
        <v>415</v>
      </c>
      <c r="C97" s="1" t="s">
        <v>416</v>
      </c>
      <c r="G97" s="1" t="s">
        <v>417</v>
      </c>
      <c r="N97" t="s">
        <v>463</v>
      </c>
      <c r="O97" t="s">
        <v>202</v>
      </c>
      <c r="P97" t="s">
        <v>247</v>
      </c>
      <c r="Q97" t="s">
        <v>464</v>
      </c>
      <c r="R97" t="s">
        <v>465</v>
      </c>
      <c r="S97" s="98" t="s">
        <v>466</v>
      </c>
      <c r="T97" t="s">
        <v>467</v>
      </c>
      <c r="U97" t="s">
        <v>423</v>
      </c>
    </row>
    <row r="98" spans="1:21" ht="116" x14ac:dyDescent="0.35">
      <c r="A98" s="98" t="s">
        <v>414</v>
      </c>
      <c r="B98" s="65" t="s">
        <v>415</v>
      </c>
      <c r="C98" s="1" t="s">
        <v>416</v>
      </c>
      <c r="G98" s="1" t="s">
        <v>417</v>
      </c>
      <c r="N98" t="s">
        <v>468</v>
      </c>
      <c r="O98" t="s">
        <v>202</v>
      </c>
      <c r="P98" t="s">
        <v>208</v>
      </c>
      <c r="Q98" t="s">
        <v>469</v>
      </c>
      <c r="R98" t="s">
        <v>470</v>
      </c>
      <c r="S98" s="98" t="s">
        <v>471</v>
      </c>
      <c r="T98" t="s">
        <v>472</v>
      </c>
      <c r="U98" t="s">
        <v>423</v>
      </c>
    </row>
    <row r="99" spans="1:21" ht="116" x14ac:dyDescent="0.35">
      <c r="A99" s="98" t="s">
        <v>414</v>
      </c>
      <c r="B99" s="65" t="s">
        <v>415</v>
      </c>
      <c r="C99" s="1" t="s">
        <v>416</v>
      </c>
      <c r="G99" s="1" t="s">
        <v>417</v>
      </c>
      <c r="N99" t="s">
        <v>473</v>
      </c>
      <c r="O99" t="s">
        <v>202</v>
      </c>
      <c r="P99" t="s">
        <v>300</v>
      </c>
      <c r="Q99" t="s">
        <v>474</v>
      </c>
      <c r="R99" t="s">
        <v>475</v>
      </c>
      <c r="S99" s="98" t="s">
        <v>476</v>
      </c>
      <c r="T99" t="s">
        <v>477</v>
      </c>
      <c r="U99" t="s">
        <v>423</v>
      </c>
    </row>
    <row r="100" spans="1:21" ht="116" x14ac:dyDescent="0.35">
      <c r="A100" s="98" t="s">
        <v>414</v>
      </c>
      <c r="B100" s="65" t="s">
        <v>415</v>
      </c>
      <c r="C100" s="1" t="s">
        <v>416</v>
      </c>
      <c r="G100" s="1" t="s">
        <v>417</v>
      </c>
      <c r="N100" t="s">
        <v>478</v>
      </c>
      <c r="O100" t="s">
        <v>202</v>
      </c>
      <c r="P100" t="s">
        <v>181</v>
      </c>
      <c r="Q100" t="s">
        <v>479</v>
      </c>
      <c r="R100" t="s">
        <v>480</v>
      </c>
      <c r="S100" s="98" t="s">
        <v>481</v>
      </c>
      <c r="T100" t="s">
        <v>482</v>
      </c>
      <c r="U100" t="s">
        <v>423</v>
      </c>
    </row>
    <row r="101" spans="1:21" ht="130.5" x14ac:dyDescent="0.35">
      <c r="A101" s="98" t="s">
        <v>483</v>
      </c>
      <c r="B101" s="65" t="s">
        <v>484</v>
      </c>
      <c r="C101" s="1" t="s">
        <v>416</v>
      </c>
      <c r="O101" t="s">
        <v>180</v>
      </c>
      <c r="P101" t="s">
        <v>485</v>
      </c>
    </row>
  </sheetData>
  <mergeCells count="24">
    <mergeCell ref="Q5:Q8"/>
    <mergeCell ref="R5:R8"/>
    <mergeCell ref="G5:G8"/>
    <mergeCell ref="H5:H8"/>
    <mergeCell ref="I5:I8"/>
    <mergeCell ref="J5:J8"/>
    <mergeCell ref="K5:K8"/>
    <mergeCell ref="L5:L8"/>
    <mergeCell ref="D10:M10"/>
    <mergeCell ref="N10:W10"/>
    <mergeCell ref="Z5:Z8"/>
    <mergeCell ref="AA5:AA8"/>
    <mergeCell ref="AB5:AB8"/>
    <mergeCell ref="X10:AB10"/>
    <mergeCell ref="S5:S8"/>
    <mergeCell ref="T5:T8"/>
    <mergeCell ref="U5:U8"/>
    <mergeCell ref="V5:V8"/>
    <mergeCell ref="W5:W8"/>
    <mergeCell ref="X5:X8"/>
    <mergeCell ref="M5:M8"/>
    <mergeCell ref="N5:N8"/>
    <mergeCell ref="O5:O8"/>
    <mergeCell ref="P5:P8"/>
  </mergeCells>
  <phoneticPr fontId="15" type="noConversion"/>
  <conditionalFormatting sqref="A1:A1048576">
    <cfRule type="containsText" dxfId="70" priority="1" operator="containsText" text="REQUIRED ACTIONS: Azure Service Health - Service Retirements">
      <formula>NOT(ISERROR(SEARCH("REQUIRED ACTIONS: Azure Service Health - Service Retirements",A1)))</formula>
    </cfRule>
    <cfRule type="containsText" dxfId="69" priority="2" operator="containsText" text="REQUIRED ACTIONS: Azure Service Health - Platform Issues">
      <formula>NOT(ISERROR(SEARCH("REQUIRED ACTIONS: Azure Service Health - Platform Issues",A1)))</formula>
    </cfRule>
    <cfRule type="containsText" dxfId="68" priority="3" operator="containsText" text="REQUIRED ACTIONS: Well-Architected Framework">
      <formula>NOT(ISERROR(SEARCH("REQUIRED ACTIONS: Well-Architected Framework",A1)))</formula>
    </cfRule>
    <cfRule type="containsText" dxfId="67" priority="4" operator="containsText" text="REQUIRED ACTIONS: ResourceType not available in APRL/Advisor">
      <formula>NOT(ISERROR(SEARCH("REQUIRED ACTIONS: ResourceType not available in APRL/Advisor",A1)))</formula>
    </cfRule>
    <cfRule type="containsText" dxfId="66" priority="5" operator="containsText" text="REQUIRED ACTIONS: Recommendation does not have automated validation.">
      <formula>NOT(ISERROR(SEARCH("REQUIRED ACTIONS: Recommendation does not have automated validation.",A1)))</formula>
    </cfRule>
    <cfRule type="containsText" dxfId="65" priority="6" operator="containsText" text="REQUIRED ACTIONS: Architectural and Reliability Design Patterns Recommendations">
      <formula>NOT(ISERROR(SEARCH("REQUIRED ACTIONS: Architectural and Reliability Design Patterns Recommendations",A1)))</formula>
    </cfRule>
  </conditionalFormatting>
  <dataValidations count="3">
    <dataValidation type="list" allowBlank="1" showInputMessage="1" showErrorMessage="1" sqref="A13:A1048576" xr:uid="{AA5AF3EC-714B-4AC5-BC1A-BBDB1E51B31D}">
      <formula1>"Pending,Reviewed"</formula1>
    </dataValidation>
    <dataValidation type="list" allowBlank="1" showInputMessage="1" showErrorMessage="1" sqref="O13:O1048576" xr:uid="{67733774-8249-4905-9027-EFA6B2032D29}">
      <formula1>"High,Medium,Low"</formula1>
    </dataValidation>
    <dataValidation type="textLength" operator="greaterThan" allowBlank="1" showInputMessage="1" showErrorMessage="1" sqref="G13:G1048576" xr:uid="{6F823A76-0D74-4508-8462-8A06ED3828EF}">
      <formula1>1</formula1>
    </dataValidation>
  </dataValidations>
  <pageMargins left="0.7" right="0.7" top="0.75" bottom="0.75" header="0.3" footer="0.3"/>
  <drawing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13"/>
  <sheetViews>
    <sheetView zoomScaleNormal="100" workbookViewId="0">
      <pane ySplit="12" topLeftCell="A13" activePane="bottomLeft" state="frozen"/>
      <selection pane="bottomLeft" activeCell="Q3" sqref="Q3"/>
    </sheetView>
  </sheetViews>
  <sheetFormatPr defaultColWidth="9" defaultRowHeight="14.5" x14ac:dyDescent="0.35"/>
  <cols>
    <col min="1" max="1" width="88.36328125" customWidth="1"/>
    <col min="2" max="3" width="14" style="2" customWidth="1"/>
    <col min="4" max="4" width="18" style="2" customWidth="1"/>
    <col min="5" max="5" width="20" style="2" customWidth="1"/>
    <col min="6" max="6" width="55" style="2" customWidth="1"/>
    <col min="7" max="10" width="20" style="2" customWidth="1"/>
    <col min="11" max="11" width="25" style="2" customWidth="1"/>
    <col min="12" max="15" width="80" style="2" customWidth="1"/>
    <col min="16" max="16" width="56.90625" style="2" customWidth="1"/>
    <col min="17" max="16383" width="9" customWidth="1"/>
  </cols>
  <sheetData>
    <row r="1" spans="1:16" x14ac:dyDescent="0.35">
      <c r="A1" s="34"/>
      <c r="B1" s="58"/>
      <c r="C1" s="58"/>
      <c r="D1" s="58"/>
      <c r="E1" s="58"/>
      <c r="F1" s="58"/>
      <c r="G1" s="58"/>
      <c r="H1" s="58"/>
      <c r="I1" s="58"/>
      <c r="J1" s="58"/>
      <c r="K1" s="58"/>
      <c r="L1" s="58"/>
      <c r="M1" s="58"/>
      <c r="N1" s="58"/>
      <c r="O1" s="58"/>
      <c r="P1" s="58"/>
    </row>
    <row r="2" spans="1:16" x14ac:dyDescent="0.35">
      <c r="A2" s="34"/>
      <c r="B2" s="58"/>
      <c r="C2" s="58"/>
      <c r="D2" s="58"/>
      <c r="E2" s="58"/>
      <c r="F2" s="58"/>
      <c r="G2" s="58"/>
      <c r="H2" s="58"/>
      <c r="I2" s="58"/>
      <c r="J2" s="58"/>
      <c r="K2" s="58"/>
      <c r="L2" s="58"/>
      <c r="M2" s="58"/>
      <c r="N2" s="58"/>
      <c r="O2" s="58"/>
      <c r="P2" s="58"/>
    </row>
    <row r="3" spans="1:16" x14ac:dyDescent="0.35">
      <c r="A3" s="34"/>
      <c r="B3" s="58"/>
      <c r="C3" s="58"/>
      <c r="D3" s="58"/>
      <c r="E3" s="58"/>
      <c r="F3" s="58"/>
      <c r="G3" s="58"/>
      <c r="H3" s="58"/>
      <c r="I3" s="58"/>
      <c r="J3" s="58"/>
      <c r="K3" s="58"/>
      <c r="L3" s="58"/>
      <c r="M3" s="58"/>
      <c r="N3" s="58"/>
      <c r="O3" s="58"/>
      <c r="P3" s="58"/>
    </row>
    <row r="4" spans="1:16" ht="14.9" customHeight="1" x14ac:dyDescent="0.35">
      <c r="A4" s="34"/>
      <c r="B4" s="58"/>
      <c r="C4" s="58"/>
      <c r="D4" s="58"/>
      <c r="E4" s="58"/>
      <c r="F4" s="58"/>
      <c r="G4" s="58"/>
      <c r="H4" s="58"/>
      <c r="I4" s="58"/>
      <c r="J4" s="58"/>
      <c r="K4" s="58"/>
      <c r="L4" s="58"/>
      <c r="M4" s="58"/>
      <c r="N4" s="58"/>
      <c r="O4" s="58"/>
      <c r="P4" s="58"/>
    </row>
    <row r="5" spans="1:16" ht="14.9" customHeight="1" x14ac:dyDescent="0.35">
      <c r="A5" s="34"/>
      <c r="B5" s="70" t="s">
        <v>39</v>
      </c>
      <c r="C5" s="71">
        <f>COUNTIF(A:A,"Reviewed")</f>
        <v>0</v>
      </c>
      <c r="D5" s="58"/>
      <c r="E5" s="58"/>
      <c r="F5" s="58"/>
      <c r="G5" s="58"/>
      <c r="H5" s="58"/>
      <c r="I5" s="58"/>
      <c r="J5" s="58"/>
      <c r="K5" s="58"/>
      <c r="L5" s="58"/>
      <c r="M5" s="58"/>
      <c r="N5" s="58"/>
      <c r="O5" s="58"/>
      <c r="P5" s="58"/>
    </row>
    <row r="6" spans="1:16" ht="14.9" customHeight="1" x14ac:dyDescent="0.35">
      <c r="A6" s="34"/>
      <c r="B6" s="70" t="s">
        <v>46</v>
      </c>
      <c r="C6" s="71">
        <f>COUNTIFS(A:A,"&lt;&gt;Reviewed",A:A,"&lt;&gt;")-1</f>
        <v>1</v>
      </c>
      <c r="D6" s="58"/>
      <c r="E6" s="58"/>
      <c r="F6" s="58"/>
      <c r="G6" s="58"/>
      <c r="H6" s="58"/>
      <c r="I6" s="58"/>
      <c r="J6" s="58"/>
      <c r="K6" s="58"/>
      <c r="L6" s="58"/>
      <c r="M6" s="58"/>
      <c r="N6" s="58"/>
      <c r="O6" s="58"/>
      <c r="P6" s="58"/>
    </row>
    <row r="7" spans="1:16" ht="14.9" customHeight="1" x14ac:dyDescent="0.35">
      <c r="A7" s="34"/>
      <c r="B7" s="70" t="s">
        <v>42</v>
      </c>
      <c r="C7" s="71">
        <f>SUM(C5:C6)</f>
        <v>1</v>
      </c>
      <c r="D7" s="58"/>
      <c r="E7" s="58"/>
      <c r="F7" s="58"/>
      <c r="G7" s="58"/>
      <c r="H7" s="58"/>
      <c r="I7" s="58"/>
      <c r="J7" s="58"/>
      <c r="K7" s="58"/>
      <c r="L7" s="58"/>
      <c r="M7" s="58"/>
      <c r="N7" s="58"/>
      <c r="O7" s="58"/>
      <c r="P7" s="58"/>
    </row>
    <row r="8" spans="1:16" x14ac:dyDescent="0.35">
      <c r="A8" s="34"/>
      <c r="B8" s="58"/>
      <c r="C8" s="58"/>
      <c r="D8" s="58"/>
      <c r="E8" s="58"/>
      <c r="F8" s="58"/>
      <c r="G8" s="58"/>
      <c r="H8" s="58"/>
      <c r="I8" s="58"/>
      <c r="J8" s="58"/>
      <c r="K8" s="58"/>
      <c r="L8" s="58"/>
      <c r="M8" s="58"/>
      <c r="N8" s="58"/>
      <c r="O8" s="58"/>
      <c r="P8" s="58"/>
    </row>
    <row r="9" spans="1:16" x14ac:dyDescent="0.35">
      <c r="A9" s="34"/>
      <c r="B9" s="58"/>
      <c r="C9" s="58"/>
      <c r="D9" s="58"/>
      <c r="E9" s="58"/>
      <c r="F9" s="58"/>
      <c r="G9" s="58"/>
      <c r="H9" s="58"/>
      <c r="I9" s="58"/>
      <c r="J9" s="58"/>
      <c r="K9" s="58"/>
      <c r="L9" s="58"/>
      <c r="M9" s="58"/>
      <c r="N9" s="58"/>
      <c r="O9" s="58"/>
      <c r="P9" s="58"/>
    </row>
    <row r="10" spans="1:16" x14ac:dyDescent="0.35">
      <c r="A10" s="34"/>
      <c r="B10" s="58"/>
      <c r="C10" s="58"/>
      <c r="D10" s="58"/>
      <c r="E10" s="58"/>
      <c r="F10" s="58"/>
      <c r="G10" s="58"/>
      <c r="H10" s="58"/>
      <c r="I10" s="58"/>
      <c r="J10" s="58"/>
      <c r="K10" s="58"/>
      <c r="L10" s="58"/>
      <c r="M10" s="58"/>
      <c r="N10" s="58"/>
      <c r="O10" s="58"/>
      <c r="P10" s="58"/>
    </row>
    <row r="11" spans="1:16" x14ac:dyDescent="0.35">
      <c r="A11" s="16"/>
      <c r="B11" s="16"/>
      <c r="C11" s="16"/>
      <c r="D11" s="16"/>
      <c r="E11" s="16"/>
      <c r="F11" s="16"/>
      <c r="G11" s="16"/>
      <c r="H11" s="16"/>
      <c r="I11" s="16"/>
      <c r="J11" s="16"/>
      <c r="K11" s="16"/>
      <c r="L11" s="16"/>
      <c r="M11" s="16"/>
      <c r="N11" s="16"/>
      <c r="O11" s="16"/>
      <c r="P11" s="16"/>
    </row>
    <row r="12" spans="1:16" ht="51" customHeight="1" x14ac:dyDescent="0.35">
      <c r="A12" s="91" t="s">
        <v>153</v>
      </c>
      <c r="B12" s="91" t="s">
        <v>486</v>
      </c>
      <c r="C12" s="91" t="s">
        <v>487</v>
      </c>
      <c r="D12" s="91" t="s">
        <v>488</v>
      </c>
      <c r="E12" s="91" t="s">
        <v>489</v>
      </c>
      <c r="F12" s="91" t="s">
        <v>490</v>
      </c>
      <c r="G12" s="91" t="s">
        <v>491</v>
      </c>
      <c r="H12" s="91" t="s">
        <v>492</v>
      </c>
      <c r="I12" s="91" t="s">
        <v>493</v>
      </c>
      <c r="J12" s="91" t="s">
        <v>494</v>
      </c>
      <c r="K12" s="91" t="s">
        <v>495</v>
      </c>
      <c r="L12" s="91" t="s">
        <v>496</v>
      </c>
      <c r="M12" s="91" t="s">
        <v>497</v>
      </c>
      <c r="N12" s="91" t="s">
        <v>498</v>
      </c>
      <c r="O12" s="91" t="s">
        <v>499</v>
      </c>
      <c r="P12" s="91" t="s">
        <v>500</v>
      </c>
    </row>
    <row r="13" spans="1:16" ht="188.5" x14ac:dyDescent="0.35">
      <c r="A13" s="98" t="s">
        <v>501</v>
      </c>
    </row>
  </sheetData>
  <conditionalFormatting sqref="A1:A1048576">
    <cfRule type="containsText" dxfId="64" priority="1" operator="containsText" text="REQUIRED ACTIONS: Review Platform Issue and create recommendations">
      <formula>NOT(ISERROR(SEARCH("REQUIRED ACTIONS: Review Platform Issue and create recommendations",A1)))</formula>
    </cfRule>
  </conditionalFormatting>
  <pageMargins left="0.7" right="0.7" top="0.75" bottom="0.75" header="0.3" footer="0.3"/>
  <drawing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13"/>
  <sheetViews>
    <sheetView zoomScaleNormal="100" workbookViewId="0">
      <pane ySplit="12" topLeftCell="A13" activePane="bottomLeft" state="frozen"/>
      <selection pane="bottomLeft" activeCell="A18" sqref="A18"/>
    </sheetView>
  </sheetViews>
  <sheetFormatPr defaultColWidth="9" defaultRowHeight="14.5" x14ac:dyDescent="0.35"/>
  <cols>
    <col min="1" max="1" width="88.36328125" customWidth="1"/>
    <col min="2" max="2" width="20" style="2" customWidth="1"/>
    <col min="3" max="4" width="15" style="2" customWidth="1"/>
    <col min="5" max="5" width="35" style="2" customWidth="1"/>
    <col min="6" max="7" width="20" style="2" customWidth="1"/>
    <col min="8" max="8" width="50" style="2" customWidth="1"/>
    <col min="9" max="9" width="83" customWidth="1"/>
    <col min="10" max="16383" width="9" customWidth="1"/>
  </cols>
  <sheetData>
    <row r="1" spans="1:10" x14ac:dyDescent="0.35">
      <c r="A1" s="34"/>
      <c r="B1" s="58"/>
      <c r="C1" s="58"/>
      <c r="D1" s="58"/>
      <c r="E1" s="58"/>
      <c r="F1" s="58"/>
      <c r="G1" s="58"/>
      <c r="H1" s="58"/>
      <c r="I1" s="34"/>
      <c r="J1" s="34"/>
    </row>
    <row r="2" spans="1:10" x14ac:dyDescent="0.35">
      <c r="A2" s="34"/>
      <c r="B2" s="58"/>
      <c r="C2" s="58"/>
      <c r="D2" s="58"/>
      <c r="E2" s="58"/>
      <c r="F2" s="58"/>
      <c r="G2" s="58"/>
      <c r="H2" s="58"/>
      <c r="I2" s="34"/>
      <c r="J2" s="34"/>
    </row>
    <row r="3" spans="1:10" x14ac:dyDescent="0.35">
      <c r="A3" s="34"/>
      <c r="B3" s="58"/>
      <c r="C3" s="58"/>
      <c r="D3" s="58"/>
      <c r="E3" s="58"/>
      <c r="F3" s="58"/>
      <c r="G3" s="58"/>
      <c r="H3" s="58"/>
      <c r="I3" s="34"/>
      <c r="J3" s="34"/>
    </row>
    <row r="4" spans="1:10" x14ac:dyDescent="0.35">
      <c r="A4" s="34"/>
      <c r="B4" s="58"/>
      <c r="C4" s="58"/>
      <c r="D4" s="58"/>
      <c r="E4" s="58"/>
      <c r="F4" s="58"/>
      <c r="G4" s="58"/>
      <c r="H4" s="58"/>
      <c r="I4" s="34"/>
      <c r="J4" s="34"/>
    </row>
    <row r="5" spans="1:10" ht="14.9" customHeight="1" x14ac:dyDescent="0.35">
      <c r="A5" s="34"/>
      <c r="B5" s="70" t="s">
        <v>39</v>
      </c>
      <c r="C5" s="71">
        <f>COUNTIF(A:A,"Reviewed")</f>
        <v>0</v>
      </c>
      <c r="D5" s="58"/>
      <c r="E5" s="58"/>
      <c r="F5" s="58"/>
      <c r="G5" s="58"/>
      <c r="H5" s="58"/>
      <c r="I5" s="34"/>
      <c r="J5" s="34"/>
    </row>
    <row r="6" spans="1:10" ht="14.9" customHeight="1" x14ac:dyDescent="0.35">
      <c r="A6" s="34"/>
      <c r="B6" s="70" t="s">
        <v>46</v>
      </c>
      <c r="C6" s="71">
        <f>COUNTIFS(A:A,"&lt;&gt;Reviewed",A:A,"&lt;&gt;")-1</f>
        <v>1</v>
      </c>
      <c r="D6" s="58"/>
      <c r="E6" s="58"/>
      <c r="F6" s="58"/>
      <c r="G6" s="58"/>
      <c r="H6" s="58"/>
      <c r="I6" s="34"/>
      <c r="J6" s="34"/>
    </row>
    <row r="7" spans="1:10" ht="14.9" customHeight="1" x14ac:dyDescent="0.35">
      <c r="A7" s="34"/>
      <c r="B7" s="70" t="s">
        <v>42</v>
      </c>
      <c r="C7" s="71">
        <f>SUM(C5:C6)</f>
        <v>1</v>
      </c>
      <c r="D7" s="58"/>
      <c r="E7" s="58"/>
      <c r="F7" s="58"/>
      <c r="G7" s="58"/>
      <c r="H7" s="58"/>
      <c r="I7" s="34"/>
      <c r="J7" s="34"/>
    </row>
    <row r="8" spans="1:10" x14ac:dyDescent="0.35">
      <c r="A8" s="34"/>
      <c r="B8" s="58"/>
      <c r="C8" s="58"/>
      <c r="D8" s="58"/>
      <c r="E8" s="58"/>
      <c r="F8" s="58"/>
      <c r="G8" s="58"/>
      <c r="H8" s="58"/>
      <c r="I8" s="34"/>
      <c r="J8" s="34"/>
    </row>
    <row r="9" spans="1:10" x14ac:dyDescent="0.35">
      <c r="A9" s="34"/>
      <c r="B9" s="58"/>
      <c r="C9" s="58"/>
      <c r="D9" s="58"/>
      <c r="E9" s="58"/>
      <c r="F9" s="58"/>
      <c r="G9" s="58"/>
      <c r="H9" s="58"/>
      <c r="I9" s="34"/>
      <c r="J9" s="34"/>
    </row>
    <row r="10" spans="1:10" x14ac:dyDescent="0.35">
      <c r="A10" s="34"/>
      <c r="B10" s="58"/>
      <c r="C10" s="58"/>
      <c r="D10" s="58"/>
      <c r="E10" s="58"/>
      <c r="F10" s="58"/>
      <c r="G10" s="58"/>
      <c r="H10" s="58"/>
      <c r="I10" s="34"/>
      <c r="J10" s="34"/>
    </row>
    <row r="11" spans="1:10" x14ac:dyDescent="0.35">
      <c r="A11" s="15"/>
      <c r="B11" s="16"/>
      <c r="C11" s="16"/>
      <c r="D11" s="16"/>
      <c r="E11" s="16"/>
      <c r="F11" s="16"/>
      <c r="G11" s="16"/>
      <c r="H11" s="16"/>
      <c r="I11" s="15"/>
      <c r="J11" s="15"/>
    </row>
    <row r="12" spans="1:10" ht="51" customHeight="1" x14ac:dyDescent="0.35">
      <c r="A12" s="89" t="s">
        <v>153</v>
      </c>
      <c r="B12" s="89" t="s">
        <v>502</v>
      </c>
      <c r="C12" s="89" t="s">
        <v>503</v>
      </c>
      <c r="D12" s="89" t="s">
        <v>489</v>
      </c>
      <c r="E12" s="89" t="s">
        <v>504</v>
      </c>
      <c r="F12" s="89" t="s">
        <v>505</v>
      </c>
      <c r="G12" s="89" t="s">
        <v>506</v>
      </c>
      <c r="H12" s="89" t="s">
        <v>490</v>
      </c>
      <c r="I12" s="89" t="s">
        <v>507</v>
      </c>
      <c r="J12" s="89"/>
    </row>
    <row r="13" spans="1:10" ht="203" x14ac:dyDescent="0.35">
      <c r="A13" s="69" t="s">
        <v>508</v>
      </c>
      <c r="B13" s="68"/>
      <c r="I13" s="17"/>
    </row>
  </sheetData>
  <conditionalFormatting sqref="A1:A1048576">
    <cfRule type="containsText" dxfId="63" priority="1" operator="containsText" text="REQUIRED ACTIONS: Review Customer Support Requests and create recommendations">
      <formula>NOT(ISERROR(SEARCH("REQUIRED ACTIONS: Review Customer Support Requests and create recommendations",A1)))</formula>
    </cfRule>
  </conditionalFormatting>
  <pageMargins left="0.7" right="0.7" top="0.75" bottom="0.75" header="0.3" footer="0.3"/>
  <drawing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item1.xml>��
</file>

<file path=customXml/item2.xml><?xml version="1.0" encoding="utf-8"?>
<ct:contentTypeSchema xmlns:ct="http://schemas.microsoft.com/office/2006/metadata/contentType" xmlns:ma="http://schemas.microsoft.com/office/2006/metadata/properties/metaAttributes" ct:_="" ma:_="" ma:contentTypeName="Document" ma:contentTypeID="0x0101001792584B535B9240A14A2E941038FA52" ma:contentTypeVersion="21" ma:contentTypeDescription="Create a new document." ma:contentTypeScope="" ma:versionID="29d6274d96300b72dcb696c613f494d4">
  <xsd:schema xmlns:xsd="http://www.w3.org/2001/XMLSchema" xmlns:xs="http://www.w3.org/2001/XMLSchema" xmlns:p="http://schemas.microsoft.com/office/2006/metadata/properties" xmlns:ns1="http://schemas.microsoft.com/sharepoint/v3" xmlns:ns2="76c5ae4f-ecb0-448c-82d7-66022c31a977" xmlns:ns3="7c265764-6886-46a3-9c12-c296af1a4836" targetNamespace="http://schemas.microsoft.com/office/2006/metadata/properties" ma:root="true" ma:fieldsID="a8542fb098e640cc25653cbc1ecb0f8e" ns1:_="" ns2:_="" ns3:_="">
    <xsd:import namespace="http://schemas.microsoft.com/sharepoint/v3"/>
    <xsd:import namespace="76c5ae4f-ecb0-448c-82d7-66022c31a977"/>
    <xsd:import namespace="7c265764-6886-46a3-9c12-c296af1a4836"/>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ServiceAutoKeyPoints" minOccurs="0"/>
                <xsd:element ref="ns2:MediaServiceKeyPoints" minOccurs="0"/>
                <xsd:element ref="ns2:MediaServiceLocation" minOccurs="0"/>
                <xsd:element ref="ns2:MediaLengthInSeconds" minOccurs="0"/>
                <xsd:element ref="ns1:_ip_UnifiedCompliancePolicyProperties" minOccurs="0"/>
                <xsd:element ref="ns1:_ip_UnifiedCompliancePolicyUIAction" minOccurs="0"/>
                <xsd:element ref="ns2:MediaServiceSearchProperties" minOccurs="0"/>
                <xsd:element ref="ns2:MediaServiceDocTags" minOccurs="0"/>
                <xsd:element ref="ns2:MediaServiceObjectDetectorVersion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3" nillable="true" ma:displayName="Unified Compliance Policy Properties" ma:hidden="true" ma:internalName="_ip_UnifiedCompliancePolicyProperties">
      <xsd:simpleType>
        <xsd:restriction base="dms:Note"/>
      </xsd:simpleType>
    </xsd:element>
    <xsd:element name="_ip_UnifiedCompliancePolicyUIAction" ma:index="24"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6c5ae4f-ecb0-448c-82d7-66022c31a97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MediaServiceLocation" ma:index="21" nillable="true" ma:displayName="Location" ma:internalName="MediaServiceLocation" ma:readOnly="true">
      <xsd:simpleType>
        <xsd:restriction base="dms:Text"/>
      </xsd:simpleType>
    </xsd:element>
    <xsd:element name="MediaLengthInSeconds" ma:index="22" nillable="true" ma:displayName="MediaLengthInSeconds" ma:hidden="true" ma:internalName="MediaLengthInSeconds" ma:readOnly="true">
      <xsd:simpleType>
        <xsd:restriction base="dms:Unknown"/>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DocTags" ma:index="26" nillable="true" ma:displayName="MediaServiceDocTags" ma:hidden="true" ma:internalName="MediaServiceDocTags" ma:readOnly="true">
      <xsd:simpleType>
        <xsd:restriction base="dms:Note"/>
      </xsd:simpleType>
    </xsd:element>
    <xsd:element name="MediaServiceObjectDetectorVersions" ma:index="27" nillable="true" ma:displayName="MediaServiceObjectDetectorVersions" ma:hidden="true" ma:indexed="true" ma:internalName="MediaServiceObjectDetectorVersions" ma:readOnly="true">
      <xsd:simpleType>
        <xsd:restriction base="dms:Text"/>
      </xsd:simpleType>
    </xsd:element>
    <xsd:element name="MediaServiceBillingMetadata" ma:index="28"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c265764-6886-46a3-9c12-c296af1a4836"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ae1ef31c-86e7-4c7f-86a2-cf78718ce806}" ma:internalName="TaxCatchAll" ma:showField="CatchAllData" ma:web="7c265764-6886-46a3-9c12-c296af1a4836">
      <xsd:complexType>
        <xsd:complexContent>
          <xsd:extension base="dms:MultiChoiceLookup">
            <xsd:sequence>
              <xsd:element name="Value" type="dms:Lookup" maxOccurs="unbounded" minOccurs="0" nillable="true"/>
            </xsd:sequence>
          </xsd:extension>
        </xsd:complexContent>
      </xsd:complexType>
    </xsd:element>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
</file>

<file path=customXml/item4.xml>��
</file>

<file path=customXml/item5.xml>��
</file>

<file path=customXml/item6.xml>��
</file>

<file path=customXml/item7.xml>��
</file>

<file path=customXml/item8.xml>��
</file>

<file path=customXml/item9.xml>��
</file>

<file path=customXml/item10.xml><?xml version="1.0" encoding="utf-8"?>
<?mso-contentType ?>
<FormTemplates xmlns="http://schemas.microsoft.com/sharepoint/v3/contenttype/forms">
  <Display>DocumentLibraryForm</Display>
  <Edit>DocumentLibraryForm</Edit>
  <New>DocumentLibraryForm</New>
</FormTemplates>
</file>

<file path=customXml/item11.xml>��
</file>

<file path=customXml/item12.xml>��
</file>

<file path=customXml/item13.xml>��
</file>

<file path=customXml/item14.xml>��
</file>

<file path=customXml/item15.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lcf76f155ced4ddcb4097134ff3c332f xmlns="76c5ae4f-ecb0-448c-82d7-66022c31a977">
      <Terms xmlns="http://schemas.microsoft.com/office/infopath/2007/PartnerControls"/>
    </lcf76f155ced4ddcb4097134ff3c332f>
    <_ip_UnifiedCompliancePolicyProperties xmlns="http://schemas.microsoft.com/sharepoint/v3" xsi:nil="true"/>
    <TaxCatchAll xmlns="7c265764-6886-46a3-9c12-c296af1a4836" xsi:nil="true"/>
  </documentManagement>
</p:properties>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Props1.xml><?xml version="1.0" encoding="utf-8"?>
<ds:datastoreItem xmlns:ds="http://schemas.openxmlformats.org/officeDocument/2006/customXml" ds:itemID="{ADA59F72-B4D2-4B5B-B724-9C1F66B48A79}">
  <ds:schemaRefs>
    <ds:schemaRef ds:uri="http://gemini/pivotcustomization/MeasureGridState"/>
  </ds:schemaRefs>
</ds:datastoreItem>
</file>

<file path=customXml/itemProps2.xml><?xml version="1.0" encoding="utf-8"?>
<ds:datastoreItem xmlns:ds="http://schemas.openxmlformats.org/officeDocument/2006/customXml" ds:itemID="{5632568B-8F2C-449A-BC0F-A873423D707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6c5ae4f-ecb0-448c-82d7-66022c31a977"/>
    <ds:schemaRef ds:uri="7c265764-6886-46a3-9c12-c296af1a483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3FD802C-F277-4781-B709-A5E71A190E47}">
  <ds:schemaRefs>
    <ds:schemaRef ds:uri="http://gemini/pivotcustomization/ClientWindowXML"/>
  </ds:schemaRefs>
</ds:datastoreItem>
</file>

<file path=customXml/itemProps4.xml><?xml version="1.0" encoding="utf-8"?>
<ds:datastoreItem xmlns:ds="http://schemas.openxmlformats.org/officeDocument/2006/customXml" ds:itemID="{C62687FD-4305-4A90-89BA-DC5A73FEBFE1}">
  <ds:schemaRefs>
    <ds:schemaRef ds:uri="http://gemini/pivotcustomization/Diagrams"/>
  </ds:schemaRefs>
</ds:datastoreItem>
</file>

<file path=customXml/itemProps5.xml><?xml version="1.0" encoding="utf-8"?>
<ds:datastoreItem xmlns:ds="http://schemas.openxmlformats.org/officeDocument/2006/customXml" ds:itemID="{070F743E-280E-4270-92CD-FF5F2109BA9D}">
  <ds:schemaRefs>
    <ds:schemaRef ds:uri="http://www.w3.org/2001/XMLSchema"/>
    <ds:schemaRef ds:uri="http://microsoft.data.visualization.Client.Excel.LState/1.0"/>
  </ds:schemaRefs>
</ds:datastoreItem>
</file>

<file path=customXml/itemProps6.xml><?xml version="1.0" encoding="utf-8"?>
<ds:datastoreItem xmlns:ds="http://schemas.openxmlformats.org/officeDocument/2006/customXml" ds:itemID="{1CB30B06-5AF3-4B0F-B7AA-F6701D5A414C}">
  <ds:schemaRefs>
    <ds:schemaRef ds:uri="http://gemini/pivotcustomization/ErrorCache"/>
  </ds:schemaRefs>
</ds:datastoreItem>
</file>

<file path=customXml/itemProps7.xml><?xml version="1.0" encoding="utf-8"?>
<ds:datastoreItem xmlns:ds="http://schemas.openxmlformats.org/officeDocument/2006/customXml" ds:itemID="{181AD982-65A7-4D2D-A9BF-274D196667AF}">
  <ds:schemaRefs>
    <ds:schemaRef ds:uri="http://gemini/pivotcustomization/PowerPivotVersion"/>
  </ds:schemaRefs>
</ds:datastoreItem>
</file>

<file path=customXml/itemProps8.xml><?xml version="1.0" encoding="utf-8"?>
<ds:datastoreItem xmlns:ds="http://schemas.openxmlformats.org/officeDocument/2006/customXml" ds:itemID="{61C3CD63-8D53-4B58-9841-F51033E3EE6E}">
  <ds:schemaRefs>
    <ds:schemaRef ds:uri="http://www.w3.org/2001/XMLSchema"/>
    <ds:schemaRef ds:uri="http://microsoft.data.visualization.engine.tours/1.0"/>
  </ds:schemaRefs>
</ds:datastoreItem>
</file>

<file path=customXml/itemProps9.xml><?xml version="1.0" encoding="utf-8"?>
<ds:datastoreItem xmlns:ds="http://schemas.openxmlformats.org/officeDocument/2006/customXml" ds:itemID="{5090D226-3897-4A66-85B6-3AF4A72D01DE}">
  <ds:schemaRefs>
    <ds:schemaRef ds:uri="http://schemas.microsoft.com/DataMashup"/>
  </ds:schemaRefs>
</ds:datastoreItem>
</file>

<file path=customXml/itemProps10.xml><?xml version="1.0" encoding="utf-8"?>
<ds:datastoreItem xmlns:ds="http://schemas.openxmlformats.org/officeDocument/2006/customXml" ds:itemID="{F81FE3F5-318D-425C-9173-BB498745E644}">
  <ds:schemaRefs>
    <ds:schemaRef ds:uri="http://schemas.microsoft.com/sharepoint/v3/contenttype/forms"/>
  </ds:schemaRefs>
</ds:datastoreItem>
</file>

<file path=customXml/itemProps11.xml><?xml version="1.0" encoding="utf-8"?>
<ds:datastoreItem xmlns:ds="http://schemas.openxmlformats.org/officeDocument/2006/customXml" ds:itemID="{11A34146-EDB6-4715-A853-FFAD49D18A5F}">
  <ds:schemaRefs>
    <ds:schemaRef ds:uri="http://gemini/pivotcustomization/TableXML_impactedresources"/>
  </ds:schemaRefs>
</ds:datastoreItem>
</file>

<file path=customXml/itemProps12.xml><?xml version="1.0" encoding="utf-8"?>
<ds:datastoreItem xmlns:ds="http://schemas.openxmlformats.org/officeDocument/2006/customXml" ds:itemID="{178F169B-5EF1-4BF2-B514-D336C92D0656}">
  <ds:schemaRefs>
    <ds:schemaRef ds:uri="http://gemini/pivotcustomization/LinkedTableUpdateMode"/>
  </ds:schemaRefs>
</ds:datastoreItem>
</file>

<file path=customXml/itemProps13.xml><?xml version="1.0" encoding="utf-8"?>
<ds:datastoreItem xmlns:ds="http://schemas.openxmlformats.org/officeDocument/2006/customXml" ds:itemID="{2CAA4F2A-0889-4C3C-89CD-959053D9AAC1}">
  <ds:schemaRefs>
    <ds:schemaRef ds:uri="http://gemini/pivotcustomization/SandboxNonEmpty"/>
  </ds:schemaRefs>
</ds:datastoreItem>
</file>

<file path=customXml/itemProps14.xml><?xml version="1.0" encoding="utf-8"?>
<ds:datastoreItem xmlns:ds="http://schemas.openxmlformats.org/officeDocument/2006/customXml" ds:itemID="{483D7C83-4C93-4C25-B7A2-EAE8E815BFAE}">
  <ds:schemaRefs>
    <ds:schemaRef ds:uri="http://www.w3.org/2001/XMLSchema"/>
    <ds:schemaRef ds:uri="http://microsoft.data.visualization.Client.Excel/1.0"/>
  </ds:schemaRefs>
</ds:datastoreItem>
</file>

<file path=customXml/itemProps15.xml><?xml version="1.0" encoding="utf-8"?>
<ds:datastoreItem xmlns:ds="http://schemas.openxmlformats.org/officeDocument/2006/customXml" ds:itemID="{431EFE59-2E53-46DB-8E96-0380BE2D7C36}">
  <ds:schemaRefs>
    <ds:schemaRef ds:uri="http://schemas.microsoft.com/office/infopath/2007/PartnerControls"/>
    <ds:schemaRef ds:uri="http://www.w3.org/XML/1998/namespace"/>
    <ds:schemaRef ds:uri="http://schemas.microsoft.com/office/2006/documentManagement/types"/>
    <ds:schemaRef ds:uri="http://purl.org/dc/elements/1.1/"/>
    <ds:schemaRef ds:uri="http://schemas.openxmlformats.org/package/2006/metadata/core-properties"/>
    <ds:schemaRef ds:uri="7c265764-6886-46a3-9c12-c296af1a4836"/>
    <ds:schemaRef ds:uri="http://purl.org/dc/dcmitype/"/>
    <ds:schemaRef ds:uri="76c5ae4f-ecb0-448c-82d7-66022c31a977"/>
    <ds:schemaRef ds:uri="http://schemas.microsoft.com/sharepoint/v3"/>
    <ds:schemaRef ds:uri="http://schemas.microsoft.com/office/2006/metadata/properties"/>
    <ds:schemaRef ds:uri="http://purl.org/dc/terms/"/>
  </ds:schemaRefs>
</ds:datastoreItem>
</file>

<file path=customXml/itemProps16.xml><?xml version="1.0" encoding="utf-8"?>
<ds:datastoreItem xmlns:ds="http://schemas.openxmlformats.org/officeDocument/2006/customXml" ds:itemID="{E4FB5594-ED62-4BE5-AC93-D54EB21043D5}">
  <ds:schemaRefs>
    <ds:schemaRef ds:uri="http://gemini/pivotcustomization/TableOrder"/>
  </ds:schemaRefs>
</ds:datastoreItem>
</file>

<file path=customXml/itemProps17.xml><?xml version="1.0" encoding="utf-8"?>
<ds:datastoreItem xmlns:ds="http://schemas.openxmlformats.org/officeDocument/2006/customXml" ds:itemID="{86E8EFCE-A66F-4EB4-AFDA-DBA9EF99DF13}">
  <ds:schemaRefs>
    <ds:schemaRef ds:uri="http://gemini/pivotcustomization/ManualCalcMode"/>
  </ds:schemaRefs>
</ds:datastoreItem>
</file>

<file path=customXml/itemProps18.xml><?xml version="1.0" encoding="utf-8"?>
<ds:datastoreItem xmlns:ds="http://schemas.openxmlformats.org/officeDocument/2006/customXml" ds:itemID="{655F17C7-70CB-4FE8-84AA-22B5DD62C13F}">
  <ds:schemaRefs>
    <ds:schemaRef ds:uri="http://gemini/pivotcustomization/FormulaBarState"/>
  </ds:schemaRefs>
</ds:datastoreItem>
</file>

<file path=customXml/itemProps19.xml><?xml version="1.0" encoding="utf-8"?>
<ds:datastoreItem xmlns:ds="http://schemas.openxmlformats.org/officeDocument/2006/customXml" ds:itemID="{E1EE10D0-AA16-417B-AC9D-116F8E4AF6C2}">
  <ds:schemaRefs>
    <ds:schemaRef ds:uri="http://gemini/pivotcustomization/ShowHidden"/>
  </ds:schemaRefs>
</ds:datastoreItem>
</file>

<file path=customXml/itemProps20.xml><?xml version="1.0" encoding="utf-8"?>
<ds:datastoreItem xmlns:ds="http://schemas.openxmlformats.org/officeDocument/2006/customXml" ds:itemID="{6401E2C9-511F-4EB7-85E2-24A7DF4A1BED}">
  <ds:schemaRefs>
    <ds:schemaRef ds:uri="http://gemini/pivotcustomization/ShowImplicitMeasures"/>
  </ds:schemaRefs>
</ds:datastoreItem>
</file>

<file path=customXml/itemProps21.xml><?xml version="1.0" encoding="utf-8"?>
<ds:datastoreItem xmlns:ds="http://schemas.openxmlformats.org/officeDocument/2006/customXml" ds:itemID="{D31402B0-CFBC-48B8-803E-4B442EE276B2}">
  <ds:schemaRefs>
    <ds:schemaRef ds:uri="http://gemini/pivotcustomization/TableWidget"/>
  </ds:schemaRefs>
</ds:datastoreItem>
</file>

<file path=customXml/itemProps22.xml><?xml version="1.0" encoding="utf-8"?>
<ds:datastoreItem xmlns:ds="http://schemas.openxmlformats.org/officeDocument/2006/customXml" ds:itemID="{2D72A211-CED7-4241-BF11-ED3103206655}">
  <ds:schemaRefs>
    <ds:schemaRef ds:uri="http://gemini/pivotcustomization/RelationshipAutoDetectionEnabled"/>
  </ds:schemaRefs>
</ds:datastoreItem>
</file>

<file path=customXml/itemProps23.xml><?xml version="1.0" encoding="utf-8"?>
<ds:datastoreItem xmlns:ds="http://schemas.openxmlformats.org/officeDocument/2006/customXml" ds:itemID="{BDEE7F37-74B6-4D5E-A44F-50FC7BCA031E}">
  <ds:schemaRefs>
    <ds:schemaRef ds:uri="http://gemini/pivotcustomization/IsSandboxEmbedded"/>
  </ds:schemaRefs>
</ds:datastoreItem>
</file>

<file path=docMetadata/LabelInfo.xml><?xml version="1.0" encoding="utf-8"?>
<clbl:labelList xmlns:clbl="http://schemas.microsoft.com/office/2020/mipLabelMetadata">
  <clbl:label id="{f42aa342-8706-4288-bd11-ebb85995028c}" enabled="1" method="Privileged" siteId="{72f988bf-86f1-41af-91ab-2d7cd011db4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Introduction</vt:lpstr>
      <vt:lpstr>1.WorkloadInformation</vt:lpstr>
      <vt:lpstr>2.WorkloadInventory</vt:lpstr>
      <vt:lpstr>3.AnalysisPlanning</vt:lpstr>
      <vt:lpstr>4.ImpactedResourcesAnalysis</vt:lpstr>
      <vt:lpstr>5.PlatformIssuesAnalysis</vt:lpstr>
      <vt:lpstr>6.SupportRequestsAnalysis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Claudio Merola</dc:creator>
  <cp:keywords/>
  <dc:description/>
  <cp:lastModifiedBy>Paul Harrison</cp:lastModifiedBy>
  <cp:revision/>
  <dcterms:created xsi:type="dcterms:W3CDTF">2024-09-11T21:04:19Z</dcterms:created>
  <dcterms:modified xsi:type="dcterms:W3CDTF">2026-07-17T01:45:12Z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0x0101001792584B535B9240A14A2E941038FA52</vt:lpwstr>
  </property>
  <property fmtid="{D5CDD505-2E9C-101B-9397-08002B2CF9AE}" pid="3" name="MediaServiceImageTags">
    <vt:lpwstr/>
  </property>
</Properties>
</file>